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structions" sheetId="1" state="visible" r:id="rId1"/>
    <sheet name="02_Contexte" sheetId="2" state="visible" r:id="rId2"/>
    <sheet name="03_SIEM_Critères" sheetId="3" state="visible" r:id="rId3"/>
    <sheet name="04_NAC_Critères" sheetId="4" state="visible" r:id="rId4"/>
    <sheet name="05_TCO" sheetId="5" state="visible" r:id="rId5"/>
    <sheet name="06_Scores" sheetId="6" state="visible" r:id="rId6"/>
    <sheet name="07_Synthese" sheetId="7" state="visible" r:id="rId7"/>
    <sheet name="08_Checklist_PoC" sheetId="8" state="visible" r:id="rId8"/>
  </sheets>
  <definedNames>
    <definedName name="_xlnm._FilterDatabase" localSheetId="2" hidden="1">'03_SIEM_Critères'!$A$3:$L$3</definedName>
    <definedName name="_xlnm._FilterDatabase" localSheetId="3" hidden="1">'04_NAC_Critères'!$A$3:$L$3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2E75B6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10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4" fillId="5" borderId="0" pivotButton="0" quotePrefix="0" xfId="0"/>
    <xf numFmtId="0" fontId="2" fillId="6" borderId="0" pivotButton="0" quotePrefix="0" xfId="0"/>
    <xf numFmtId="0" fontId="1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164" fontId="3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 ht="32" customHeight="1">
      <c r="A1" s="1" t="inlineStr">
        <is>
          <t>TEMPLATE D'ÉVALUATION COMPARATIVE — SIEM &amp; NAC (3 OFFRES)</t>
        </is>
      </c>
    </row>
    <row r="3">
      <c r="A3" s="2" t="inlineStr"/>
      <c r="B3" s="3" t="inlineStr"/>
    </row>
    <row r="4">
      <c r="A4" s="4" t="inlineStr">
        <is>
          <t>Objectif</t>
        </is>
      </c>
      <c r="B4" s="5" t="inlineStr">
        <is>
          <t>Comparer objectivement trois offres techniques pour l'acquisition d'un SIEM et d'un NAC, avec notation pondérée et TCO.</t>
        </is>
      </c>
    </row>
    <row r="5">
      <c r="A5" s="4" t="inlineStr">
        <is>
          <t>Mode d'emploi</t>
        </is>
      </c>
      <c r="B5" s="5" t="inlineStr"/>
    </row>
    <row r="6">
      <c r="A6" s="2" t="inlineStr">
        <is>
          <t>1</t>
        </is>
      </c>
      <c r="B6" s="3" t="inlineStr">
        <is>
          <t>Remplir la feuille 02_Contexte : votre périmètre, contraintes et pondérations (poids des critères).</t>
        </is>
      </c>
    </row>
    <row r="7">
      <c r="A7" s="2" t="inlineStr">
        <is>
          <t>2</t>
        </is>
      </c>
      <c r="B7" s="3" t="inlineStr">
        <is>
          <t>Identifier les 3 soumissionnaires dans 02_Contexte (Offre A / B / C).</t>
        </is>
      </c>
    </row>
    <row r="8">
      <c r="A8" s="2" t="inlineStr">
        <is>
          <t>3</t>
        </is>
      </c>
      <c r="B8" s="3" t="inlineStr">
        <is>
          <t>Compléter 03_SIEM_Critères et 04_NAC_Critères : réponse Oui/Partiel/Non + note 0–5 + commentaire.</t>
        </is>
      </c>
    </row>
    <row r="9">
      <c r="A9" s="2" t="inlineStr">
        <is>
          <t>4</t>
        </is>
      </c>
      <c r="B9" s="3" t="inlineStr">
        <is>
          <t>Saisir les coûts dans 05_TCO (licence, déploiement, support, stockage, formation…).</t>
        </is>
      </c>
    </row>
    <row r="10">
      <c r="A10" s="2" t="inlineStr">
        <is>
          <t>5</t>
        </is>
      </c>
      <c r="B10" s="3" t="inlineStr">
        <is>
          <t>Consulter 06_Scores (calculs automatiques) et 07_Synthese pour la recommandation.</t>
        </is>
      </c>
    </row>
    <row r="11">
      <c r="A11" s="2" t="inlineStr"/>
      <c r="B11" s="3" t="inlineStr"/>
    </row>
    <row r="12">
      <c r="A12" s="4" t="inlineStr">
        <is>
          <t>Échelle de notes</t>
        </is>
      </c>
      <c r="B12" s="5" t="inlineStr"/>
    </row>
    <row r="13">
      <c r="A13" s="2" t="inlineStr">
        <is>
          <t>0</t>
        </is>
      </c>
      <c r="B13" s="3" t="inlineStr">
        <is>
          <t>Absent / non conforme</t>
        </is>
      </c>
    </row>
    <row r="14">
      <c r="A14" s="2" t="inlineStr">
        <is>
          <t>1</t>
        </is>
      </c>
      <c r="B14" s="3" t="inlineStr">
        <is>
          <t>Très insuffisant</t>
        </is>
      </c>
    </row>
    <row r="15">
      <c r="A15" s="2" t="inlineStr">
        <is>
          <t>2</t>
        </is>
      </c>
      <c r="B15" s="3" t="inlineStr">
        <is>
          <t>Insuffisant / écarts majeurs</t>
        </is>
      </c>
    </row>
    <row r="16">
      <c r="A16" s="2" t="inlineStr">
        <is>
          <t>3</t>
        </is>
      </c>
      <c r="B16" s="3" t="inlineStr">
        <is>
          <t>Acceptable / écarts mineurs</t>
        </is>
      </c>
    </row>
    <row r="17">
      <c r="A17" s="2" t="inlineStr">
        <is>
          <t>4</t>
        </is>
      </c>
      <c r="B17" s="3" t="inlineStr">
        <is>
          <t>Bon / conforme au besoin</t>
        </is>
      </c>
    </row>
    <row r="18">
      <c r="A18" s="2" t="inlineStr">
        <is>
          <t>5</t>
        </is>
      </c>
      <c r="B18" s="3" t="inlineStr">
        <is>
          <t>Excellent / dépasse le besoin</t>
        </is>
      </c>
    </row>
    <row r="19">
      <c r="A19" s="2" t="inlineStr"/>
      <c r="B19" s="3" t="inlineStr"/>
    </row>
    <row r="20">
      <c r="A20" s="6" t="inlineStr">
        <is>
          <t>Couleurs</t>
        </is>
      </c>
      <c r="B20" s="5" t="inlineStr"/>
    </row>
    <row r="21">
      <c r="A21" s="7" t="inlineStr">
        <is>
          <t>Jaune</t>
        </is>
      </c>
      <c r="B21" s="3" t="inlineStr">
        <is>
          <t>Cellules à remplir (saisie manuelle)</t>
        </is>
      </c>
    </row>
    <row r="22">
      <c r="A22" s="2" t="inlineStr">
        <is>
          <t>Vert</t>
        </is>
      </c>
      <c r="B22" s="3" t="inlineStr">
        <is>
          <t>Cellules calculées automatiquement — ne pas modifier</t>
        </is>
      </c>
    </row>
    <row r="23">
      <c r="A23" s="2" t="inlineStr"/>
      <c r="B23" s="3" t="inlineStr"/>
    </row>
    <row r="24">
      <c r="A24" s="4" t="inlineStr">
        <is>
          <t>Conseil</t>
        </is>
      </c>
      <c r="B24" s="5" t="inlineStr">
        <is>
          <t>Adaptez les poids dans 02_Contexte pour refléter vos priorités (ex. : conformité, TCO, intégration AD, SOC 24/7).</t>
        </is>
      </c>
    </row>
    <row r="25">
      <c r="A25" s="2" t="inlineStr"/>
      <c r="B25" s="3" t="inlineStr">
        <is>
          <t>Conservez une trace des preuves (références pages de l'offre) dans la colonne Commentaire.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8" customWidth="1" min="4" max="4"/>
    <col width="40" customWidth="1" min="5" max="5"/>
  </cols>
  <sheetData>
    <row r="1" ht="28" customHeight="1">
      <c r="A1" s="8" t="inlineStr">
        <is>
          <t>CONTEXTE &amp; PÉRIMÈTRE D'ACQUISITION</t>
        </is>
      </c>
    </row>
    <row r="3">
      <c r="A3" s="9" t="inlineStr">
        <is>
          <t>IDENTIFICATION DES OFFRES</t>
        </is>
      </c>
      <c r="B3" s="10" t="n"/>
      <c r="C3" s="10" t="n"/>
      <c r="D3" s="10" t="n"/>
      <c r="E3" s="10" t="n"/>
    </row>
    <row r="4">
      <c r="A4" s="11" t="inlineStr">
        <is>
          <t>Champ</t>
        </is>
      </c>
      <c r="B4" s="11" t="inlineStr">
        <is>
          <t>Offre A</t>
        </is>
      </c>
      <c r="C4" s="11" t="inlineStr">
        <is>
          <t>Offre B</t>
        </is>
      </c>
      <c r="D4" s="11" t="inlineStr">
        <is>
          <t>Offre C</t>
        </is>
      </c>
      <c r="E4" s="11" t="inlineStr">
        <is>
          <t>Commentaire</t>
        </is>
      </c>
    </row>
    <row r="5">
      <c r="A5" s="12" t="inlineStr">
        <is>
          <t>Nom éditeur / produit SIEM</t>
        </is>
      </c>
      <c r="B5" s="13" t="n"/>
      <c r="C5" s="13" t="n"/>
      <c r="D5" s="13" t="n"/>
      <c r="E5" s="13" t="n"/>
    </row>
    <row r="6">
      <c r="A6" s="12" t="inlineStr">
        <is>
          <t>Nom éditeur / produit NAC</t>
        </is>
      </c>
      <c r="B6" s="13" t="n"/>
      <c r="C6" s="13" t="n"/>
      <c r="D6" s="13" t="n"/>
      <c r="E6" s="13" t="n"/>
    </row>
    <row r="7">
      <c r="A7" s="12" t="inlineStr">
        <is>
          <t>Intégrateur / revendeur</t>
        </is>
      </c>
      <c r="B7" s="13" t="n"/>
      <c r="C7" s="13" t="n"/>
      <c r="D7" s="13" t="n"/>
      <c r="E7" s="13" t="n"/>
    </row>
    <row r="8">
      <c r="A8" s="12" t="inlineStr">
        <is>
          <t>Référence proposition</t>
        </is>
      </c>
      <c r="B8" s="13" t="n"/>
      <c r="C8" s="13" t="n"/>
      <c r="D8" s="13" t="n"/>
      <c r="E8" s="13" t="n"/>
    </row>
    <row r="9">
      <c r="A9" s="12" t="inlineStr">
        <is>
          <t>Date de l'offre</t>
        </is>
      </c>
      <c r="B9" s="13" t="n"/>
      <c r="C9" s="13" t="n"/>
      <c r="D9" s="13" t="n"/>
      <c r="E9" s="13" t="n"/>
    </row>
    <row r="10">
      <c r="A10" s="12" t="inlineStr">
        <is>
          <t>Validité de l'offre</t>
        </is>
      </c>
      <c r="B10" s="13" t="n"/>
      <c r="C10" s="13" t="n"/>
      <c r="D10" s="13" t="n"/>
      <c r="E10" s="13" t="n"/>
    </row>
    <row r="11">
      <c r="A11" s="12" t="inlineStr">
        <is>
          <t>Contact commercial</t>
        </is>
      </c>
      <c r="B11" s="13" t="n"/>
      <c r="C11" s="13" t="n"/>
      <c r="D11" s="13" t="n"/>
      <c r="E11" s="13" t="n"/>
    </row>
    <row r="12">
      <c r="A12" s="12" t="inlineStr">
        <is>
          <t>Modèle de déploiement (On-prem / SaaS / Hybride)</t>
        </is>
      </c>
      <c r="B12" s="13" t="n"/>
      <c r="C12" s="13" t="n"/>
      <c r="D12" s="13" t="n"/>
      <c r="E12" s="13" t="n"/>
    </row>
    <row r="14">
      <c r="A14" s="9" t="inlineStr">
        <is>
          <t>PÉRIMÈTRE TECHNIQUE (à renseigner une seule fois)</t>
        </is>
      </c>
      <c r="B14" s="10" t="n"/>
      <c r="C14" s="10" t="n"/>
      <c r="D14" s="10" t="n"/>
      <c r="E14" s="10" t="n"/>
    </row>
    <row r="15">
      <c r="A15" s="11" t="inlineStr">
        <is>
          <t>Paramètre</t>
        </is>
      </c>
      <c r="B15" s="11" t="inlineStr">
        <is>
          <t>Valeur</t>
        </is>
      </c>
      <c r="C15" s="11" t="inlineStr">
        <is>
          <t>Unité</t>
        </is>
      </c>
      <c r="D15" s="11" t="inlineStr">
        <is>
          <t>Obligation (O/S)</t>
        </is>
      </c>
      <c r="E15" s="11" t="inlineStr">
        <is>
          <t>Notes</t>
        </is>
      </c>
    </row>
    <row r="16">
      <c r="A16" s="14" t="inlineStr">
        <is>
          <t>Nombre d'utilisateurs / identités</t>
        </is>
      </c>
      <c r="B16" s="13" t="inlineStr"/>
      <c r="C16" s="15" t="inlineStr">
        <is>
          <t>u</t>
        </is>
      </c>
      <c r="D16" s="13" t="inlineStr">
        <is>
          <t>O</t>
        </is>
      </c>
      <c r="E16" s="13" t="inlineStr"/>
    </row>
    <row r="17">
      <c r="A17" s="14" t="inlineStr">
        <is>
          <t>Nombre d'endpoints (EPS) SIEM</t>
        </is>
      </c>
      <c r="B17" s="13" t="inlineStr"/>
      <c r="C17" s="15" t="inlineStr">
        <is>
          <t>EPS</t>
        </is>
      </c>
      <c r="D17" s="13" t="inlineStr">
        <is>
          <t>O</t>
        </is>
      </c>
      <c r="E17" s="13" t="inlineStr"/>
    </row>
    <row r="18">
      <c r="A18" s="14" t="inlineStr">
        <is>
          <t>Volume de logs / jour estimé</t>
        </is>
      </c>
      <c r="B18" s="13" t="inlineStr"/>
      <c r="C18" s="15" t="inlineStr">
        <is>
          <t>Go/jour</t>
        </is>
      </c>
      <c r="D18" s="13" t="inlineStr">
        <is>
          <t>O</t>
        </is>
      </c>
      <c r="E18" s="13" t="inlineStr"/>
    </row>
    <row r="19">
      <c r="A19" s="14" t="inlineStr">
        <is>
          <t>Durée de rétention chaude</t>
        </is>
      </c>
      <c r="B19" s="13" t="inlineStr"/>
      <c r="C19" s="15" t="inlineStr">
        <is>
          <t>jours</t>
        </is>
      </c>
      <c r="D19" s="13" t="inlineStr">
        <is>
          <t>O</t>
        </is>
      </c>
      <c r="E19" s="13" t="inlineStr"/>
    </row>
    <row r="20">
      <c r="A20" s="14" t="inlineStr">
        <is>
          <t>Durée de rétention froide / archive</t>
        </is>
      </c>
      <c r="B20" s="13" t="inlineStr"/>
      <c r="C20" s="15" t="inlineStr">
        <is>
          <t>mois</t>
        </is>
      </c>
      <c r="D20" s="13" t="inlineStr">
        <is>
          <t>S</t>
        </is>
      </c>
      <c r="E20" s="13" t="inlineStr"/>
    </row>
    <row r="21">
      <c r="A21" s="14" t="inlineStr">
        <is>
          <t>Nombre de sites / datacenters</t>
        </is>
      </c>
      <c r="B21" s="13" t="inlineStr"/>
      <c r="C21" s="15" t="inlineStr">
        <is>
          <t>sites</t>
        </is>
      </c>
      <c r="D21" s="13" t="inlineStr">
        <is>
          <t>O</t>
        </is>
      </c>
      <c r="E21" s="13" t="inlineStr"/>
    </row>
    <row r="22">
      <c r="A22" s="14" t="inlineStr">
        <is>
          <t>Nombre de switches / contrôleurs Wi-Fi (NAC)</t>
        </is>
      </c>
      <c r="B22" s="13" t="inlineStr"/>
      <c r="C22" s="15" t="inlineStr">
        <is>
          <t>équip.</t>
        </is>
      </c>
      <c r="D22" s="13" t="inlineStr">
        <is>
          <t>O</t>
        </is>
      </c>
      <c r="E22" s="13" t="inlineStr"/>
    </row>
    <row r="23">
      <c r="A23" s="14" t="inlineStr">
        <is>
          <t>Couverture Wi-Fi / filaire / VPN / IoT</t>
        </is>
      </c>
      <c r="B23" s="13" t="inlineStr"/>
      <c r="C23" s="15" t="inlineStr">
        <is>
          <t>texte</t>
        </is>
      </c>
      <c r="D23" s="13" t="inlineStr">
        <is>
          <t>O</t>
        </is>
      </c>
      <c r="E23" s="13" t="inlineStr"/>
    </row>
    <row r="24">
      <c r="A24" s="14" t="inlineStr">
        <is>
          <t>Intégration AD / Entra ID / LDAP</t>
        </is>
      </c>
      <c r="B24" s="13" t="inlineStr"/>
      <c r="C24" s="15" t="inlineStr">
        <is>
          <t>Oui/Non</t>
        </is>
      </c>
      <c r="D24" s="13" t="inlineStr">
        <is>
          <t>O</t>
        </is>
      </c>
      <c r="E24" s="13" t="inlineStr"/>
    </row>
    <row r="25">
      <c r="A25" s="14" t="inlineStr">
        <is>
          <t>Exigence Haute Disponibilité</t>
        </is>
      </c>
      <c r="B25" s="13" t="inlineStr"/>
      <c r="C25" s="15" t="inlineStr">
        <is>
          <t>Oui/Non</t>
        </is>
      </c>
      <c r="D25" s="13" t="inlineStr">
        <is>
          <t>S</t>
        </is>
      </c>
      <c r="E25" s="13" t="inlineStr"/>
    </row>
    <row r="26">
      <c r="A26" s="14" t="inlineStr">
        <is>
          <t>Exigence hébergement données (UE / souveraineté)</t>
        </is>
      </c>
      <c r="B26" s="13" t="inlineStr"/>
      <c r="C26" s="15" t="inlineStr">
        <is>
          <t>texte</t>
        </is>
      </c>
      <c r="D26" s="13" t="inlineStr">
        <is>
          <t>O</t>
        </is>
      </c>
      <c r="E26" s="13" t="inlineStr"/>
    </row>
    <row r="27">
      <c r="A27" s="14" t="inlineStr">
        <is>
          <t>SOC interne / MSSP / hybride</t>
        </is>
      </c>
      <c r="B27" s="13" t="inlineStr"/>
      <c r="C27" s="15" t="inlineStr">
        <is>
          <t>texte</t>
        </is>
      </c>
      <c r="D27" s="13" t="inlineStr">
        <is>
          <t>O</t>
        </is>
      </c>
      <c r="E27" s="13" t="inlineStr"/>
    </row>
    <row r="28">
      <c r="A28" s="14" t="inlineStr">
        <is>
          <t>Budget max TCO 3 ans (indicatif)</t>
        </is>
      </c>
      <c r="B28" s="13" t="inlineStr"/>
      <c r="C28" s="15" t="inlineStr">
        <is>
          <t>€ HT</t>
        </is>
      </c>
      <c r="D28" s="13" t="inlineStr">
        <is>
          <t>S</t>
        </is>
      </c>
      <c r="E28" s="13" t="inlineStr"/>
    </row>
    <row r="29">
      <c r="A29" s="14" t="inlineStr">
        <is>
          <t>Date cible de mise en production</t>
        </is>
      </c>
      <c r="B29" s="13" t="inlineStr"/>
      <c r="C29" s="15" t="inlineStr">
        <is>
          <t>date</t>
        </is>
      </c>
      <c r="D29" s="13" t="inlineStr">
        <is>
          <t>S</t>
        </is>
      </c>
      <c r="E29" s="13" t="inlineStr"/>
    </row>
    <row r="32">
      <c r="A32" s="9" t="inlineStr">
        <is>
          <t>PONDÉRATION DES CRITÈRES SIEM (total = 100 %)</t>
        </is>
      </c>
      <c r="B32" s="10" t="n"/>
      <c r="C32" s="10" t="n"/>
      <c r="D32" s="10" t="n"/>
      <c r="E32" s="10" t="n"/>
    </row>
    <row r="33">
      <c r="A33" s="11" t="inlineStr">
        <is>
          <t>Famille de critères</t>
        </is>
      </c>
      <c r="B33" s="11" t="inlineStr">
        <is>
          <t>Poids %</t>
        </is>
      </c>
      <c r="C33" s="11" t="inlineStr">
        <is>
          <t>Offre A (auto)</t>
        </is>
      </c>
      <c r="D33" s="11" t="inlineStr">
        <is>
          <t>Offre B (auto)</t>
        </is>
      </c>
      <c r="E33" s="11" t="inlineStr">
        <is>
          <t>Offre C (auto)</t>
        </is>
      </c>
    </row>
    <row r="34">
      <c r="A34" s="15" t="inlineStr">
        <is>
          <t>Fonctionnalités &amp; détection</t>
        </is>
      </c>
      <c r="B34" s="13" t="n">
        <v>25</v>
      </c>
      <c r="C34" s="16" t="inlineStr">
        <is>
          <t>→ voir 06_Scores</t>
        </is>
      </c>
      <c r="D34" s="16" t="inlineStr">
        <is>
          <t>→ voir 06_Scores</t>
        </is>
      </c>
      <c r="E34" s="16" t="inlineStr">
        <is>
          <t>→ voir 06_Scores</t>
        </is>
      </c>
    </row>
    <row r="35">
      <c r="A35" s="15" t="inlineStr">
        <is>
          <t>Architecture &amp; performance</t>
        </is>
      </c>
      <c r="B35" s="13" t="n">
        <v>15</v>
      </c>
      <c r="C35" s="16" t="inlineStr">
        <is>
          <t>→ voir 06_Scores</t>
        </is>
      </c>
      <c r="D35" s="16" t="inlineStr">
        <is>
          <t>→ voir 06_Scores</t>
        </is>
      </c>
      <c r="E35" s="16" t="inlineStr">
        <is>
          <t>→ voir 06_Scores</t>
        </is>
      </c>
    </row>
    <row r="36">
      <c r="A36" s="15" t="inlineStr">
        <is>
          <t>Intégrations &amp; écosystème</t>
        </is>
      </c>
      <c r="B36" s="13" t="n">
        <v>15</v>
      </c>
      <c r="C36" s="16" t="inlineStr">
        <is>
          <t>→ voir 06_Scores</t>
        </is>
      </c>
      <c r="D36" s="16" t="inlineStr">
        <is>
          <t>→ voir 06_Scores</t>
        </is>
      </c>
      <c r="E36" s="16" t="inlineStr">
        <is>
          <t>→ voir 06_Scores</t>
        </is>
      </c>
    </row>
    <row r="37">
      <c r="A37" s="15" t="inlineStr">
        <is>
          <t>Exploitation &amp; usabilité SOC</t>
        </is>
      </c>
      <c r="B37" s="13" t="n">
        <v>15</v>
      </c>
      <c r="C37" s="16" t="inlineStr">
        <is>
          <t>→ voir 06_Scores</t>
        </is>
      </c>
      <c r="D37" s="16" t="inlineStr">
        <is>
          <t>→ voir 06_Scores</t>
        </is>
      </c>
      <c r="E37" s="16" t="inlineStr">
        <is>
          <t>→ voir 06_Scores</t>
        </is>
      </c>
    </row>
    <row r="38">
      <c r="A38" s="15" t="inlineStr">
        <is>
          <t>Sécurité, conformité, gouvernance</t>
        </is>
      </c>
      <c r="B38" s="13" t="n">
        <v>10</v>
      </c>
      <c r="C38" s="16" t="inlineStr">
        <is>
          <t>→ voir 06_Scores</t>
        </is>
      </c>
      <c r="D38" s="16" t="inlineStr">
        <is>
          <t>→ voir 06_Scores</t>
        </is>
      </c>
      <c r="E38" s="16" t="inlineStr">
        <is>
          <t>→ voir 06_Scores</t>
        </is>
      </c>
    </row>
    <row r="39">
      <c r="A39" s="15" t="inlineStr">
        <is>
          <t>Support, formation, roadmap</t>
        </is>
      </c>
      <c r="B39" s="13" t="n">
        <v>10</v>
      </c>
      <c r="C39" s="16" t="inlineStr">
        <is>
          <t>→ voir 06_Scores</t>
        </is>
      </c>
      <c r="D39" s="16" t="inlineStr">
        <is>
          <t>→ voir 06_Scores</t>
        </is>
      </c>
      <c r="E39" s="16" t="inlineStr">
        <is>
          <t>→ voir 06_Scores</t>
        </is>
      </c>
    </row>
    <row r="40">
      <c r="A40" s="15" t="inlineStr">
        <is>
          <t>TCO / rapport qualité-prix</t>
        </is>
      </c>
      <c r="B40" s="13" t="n">
        <v>10</v>
      </c>
      <c r="C40" s="16" t="inlineStr">
        <is>
          <t>→ voir 06_Scores</t>
        </is>
      </c>
      <c r="D40" s="16" t="inlineStr">
        <is>
          <t>→ voir 06_Scores</t>
        </is>
      </c>
      <c r="E40" s="16" t="inlineStr">
        <is>
          <t>→ voir 06_Scores</t>
        </is>
      </c>
    </row>
    <row r="41">
      <c r="A41" s="2" t="inlineStr">
        <is>
          <t>TOTAL poids SIEM</t>
        </is>
      </c>
      <c r="B41" s="16">
        <f>SUM(B34:B40)</f>
        <v/>
      </c>
    </row>
    <row r="42">
      <c r="B42" s="17" t="inlineStr">
        <is>
          <t>Le total doit être égal à 100</t>
        </is>
      </c>
    </row>
    <row r="44">
      <c r="A44" s="9" t="inlineStr">
        <is>
          <t>PONDÉRATION DES CRITÈRES NAC (total = 100 %)</t>
        </is>
      </c>
      <c r="B44" s="10" t="n"/>
      <c r="C44" s="10" t="n"/>
      <c r="D44" s="10" t="n"/>
      <c r="E44" s="10" t="n"/>
    </row>
    <row r="45">
      <c r="A45" s="11" t="inlineStr">
        <is>
          <t>Famille de critères</t>
        </is>
      </c>
      <c r="B45" s="11" t="inlineStr">
        <is>
          <t>Poids %</t>
        </is>
      </c>
      <c r="C45" s="11" t="inlineStr">
        <is>
          <t>Offre A (auto)</t>
        </is>
      </c>
      <c r="D45" s="11" t="inlineStr">
        <is>
          <t>Offre B (auto)</t>
        </is>
      </c>
      <c r="E45" s="11" t="inlineStr">
        <is>
          <t>Offre C (auto)</t>
        </is>
      </c>
    </row>
    <row r="46">
      <c r="A46" s="15" t="inlineStr">
        <is>
          <t>Contrôle d'accès &amp; politiques</t>
        </is>
      </c>
      <c r="B46" s="13" t="n">
        <v>25</v>
      </c>
      <c r="C46" s="16" t="inlineStr">
        <is>
          <t>→ voir 06_Scores</t>
        </is>
      </c>
      <c r="D46" s="16" t="inlineStr">
        <is>
          <t>→ voir 06_Scores</t>
        </is>
      </c>
      <c r="E46" s="16" t="inlineStr">
        <is>
          <t>→ voir 06_Scores</t>
        </is>
      </c>
    </row>
    <row r="47">
      <c r="A47" s="15" t="inlineStr">
        <is>
          <t>Profilage &amp; visibilité assets</t>
        </is>
      </c>
      <c r="B47" s="13" t="n">
        <v>15</v>
      </c>
      <c r="C47" s="16" t="inlineStr">
        <is>
          <t>→ voir 06_Scores</t>
        </is>
      </c>
      <c r="D47" s="16" t="inlineStr">
        <is>
          <t>→ voir 06_Scores</t>
        </is>
      </c>
      <c r="E47" s="16" t="inlineStr">
        <is>
          <t>→ voir 06_Scores</t>
        </is>
      </c>
    </row>
    <row r="48">
      <c r="A48" s="15" t="inlineStr">
        <is>
          <t>Intégrations réseau / IAM / MDM</t>
        </is>
      </c>
      <c r="B48" s="13" t="n">
        <v>20</v>
      </c>
      <c r="C48" s="16" t="inlineStr">
        <is>
          <t>→ voir 06_Scores</t>
        </is>
      </c>
      <c r="D48" s="16" t="inlineStr">
        <is>
          <t>→ voir 06_Scores</t>
        </is>
      </c>
      <c r="E48" s="16" t="inlineStr">
        <is>
          <t>→ voir 06_Scores</t>
        </is>
      </c>
    </row>
    <row r="49">
      <c r="A49" s="15" t="inlineStr">
        <is>
          <t>Déploiement &amp; modes (monitor→enforce)</t>
        </is>
      </c>
      <c r="B49" s="13" t="n">
        <v>10</v>
      </c>
      <c r="C49" s="16" t="inlineStr">
        <is>
          <t>→ voir 06_Scores</t>
        </is>
      </c>
      <c r="D49" s="16" t="inlineStr">
        <is>
          <t>→ voir 06_Scores</t>
        </is>
      </c>
      <c r="E49" s="16" t="inlineStr">
        <is>
          <t>→ voir 06_Scores</t>
        </is>
      </c>
    </row>
    <row r="50">
      <c r="A50" s="15" t="inlineStr">
        <is>
          <t>Sécurité, conformité, segmentation</t>
        </is>
      </c>
      <c r="B50" s="13" t="n">
        <v>10</v>
      </c>
      <c r="C50" s="16" t="inlineStr">
        <is>
          <t>→ voir 06_Scores</t>
        </is>
      </c>
      <c r="D50" s="16" t="inlineStr">
        <is>
          <t>→ voir 06_Scores</t>
        </is>
      </c>
      <c r="E50" s="16" t="inlineStr">
        <is>
          <t>→ voir 06_Scores</t>
        </is>
      </c>
    </row>
    <row r="51">
      <c r="A51" s="15" t="inlineStr">
        <is>
          <t>Support, formation, roadmap</t>
        </is>
      </c>
      <c r="B51" s="13" t="n">
        <v>10</v>
      </c>
      <c r="C51" s="16" t="inlineStr">
        <is>
          <t>→ voir 06_Scores</t>
        </is>
      </c>
      <c r="D51" s="16" t="inlineStr">
        <is>
          <t>→ voir 06_Scores</t>
        </is>
      </c>
      <c r="E51" s="16" t="inlineStr">
        <is>
          <t>→ voir 06_Scores</t>
        </is>
      </c>
    </row>
    <row r="52">
      <c r="A52" s="15" t="inlineStr">
        <is>
          <t>TCO / rapport qualité-prix</t>
        </is>
      </c>
      <c r="B52" s="13" t="n">
        <v>10</v>
      </c>
      <c r="C52" s="16" t="inlineStr">
        <is>
          <t>→ voir 06_Scores</t>
        </is>
      </c>
      <c r="D52" s="16" t="inlineStr">
        <is>
          <t>→ voir 06_Scores</t>
        </is>
      </c>
      <c r="E52" s="16" t="inlineStr">
        <is>
          <t>→ voir 06_Scores</t>
        </is>
      </c>
    </row>
    <row r="53">
      <c r="A53" s="2" t="inlineStr">
        <is>
          <t>TOTAL poids NAC</t>
        </is>
      </c>
      <c r="B53" s="16">
        <f>SUM(B46:B52)</f>
        <v/>
      </c>
    </row>
    <row r="54">
      <c r="B54" s="17" t="inlineStr">
        <is>
          <t>Le total doit être égal à 100</t>
        </is>
      </c>
    </row>
    <row r="56">
      <c r="A56" s="9" t="inlineStr">
        <is>
          <t>PONDÉRATION GLOBALE PROJET</t>
        </is>
      </c>
      <c r="B56" s="10" t="n"/>
      <c r="C56" s="10" t="n"/>
      <c r="D56" s="10" t="n"/>
      <c r="E56" s="10" t="n"/>
    </row>
    <row r="57">
      <c r="A57" t="inlineStr">
        <is>
          <t>Poids SIEM dans le score global (%)</t>
        </is>
      </c>
      <c r="B57" s="13" t="n">
        <v>55</v>
      </c>
      <c r="C57" s="17" t="inlineStr">
        <is>
          <t>Doit totaliser 100 %</t>
        </is>
      </c>
    </row>
    <row r="58">
      <c r="A58" t="inlineStr">
        <is>
          <t>Poids NAC dans le score global (%)</t>
        </is>
      </c>
      <c r="B58" s="13" t="n">
        <v>45</v>
      </c>
    </row>
    <row r="59">
      <c r="A59" t="inlineStr">
        <is>
          <t>TOTAL</t>
        </is>
      </c>
      <c r="B59" s="16">
        <f>B57+B58</f>
        <v/>
      </c>
    </row>
  </sheetData>
  <mergeCells count="6">
    <mergeCell ref="A1:E1"/>
    <mergeCell ref="A32:E32"/>
    <mergeCell ref="A14:E14"/>
    <mergeCell ref="A44:E44"/>
    <mergeCell ref="A56:E5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12" customWidth="1" min="4" max="4"/>
    <col width="28" customWidth="1" min="5" max="5"/>
    <col width="14" customWidth="1" min="6" max="6"/>
    <col width="12" customWidth="1" min="7" max="7"/>
    <col width="28" customWidth="1" min="8" max="8"/>
    <col width="14" customWidth="1" min="9" max="9"/>
    <col width="12" customWidth="1" min="10" max="10"/>
    <col width="28" customWidth="1" min="11" max="11"/>
    <col width="22" customWidth="1" min="12" max="12"/>
  </cols>
  <sheetData>
    <row r="1" ht="28" customHeight="1">
      <c r="A1" s="8" t="inlineStr">
        <is>
          <t>GRILLE D'ÉVALUATION TECHNIQUE — SIEM</t>
        </is>
      </c>
    </row>
    <row r="2">
      <c r="A2" s="17" t="inlineStr">
        <is>
          <t>Remplir les colonnes jaunes. Conformité = Oui / Partiel / Non / N/A. Note = 0 (absent) à 5 (excellent). Les totaux sont dans 06_Scores.</t>
        </is>
      </c>
    </row>
    <row r="3">
      <c r="A3" s="11" t="inlineStr">
        <is>
          <t>Critère</t>
        </is>
      </c>
      <c r="B3" s="11" t="inlineStr">
        <is>
          <t>Famille</t>
        </is>
      </c>
      <c r="C3" s="11" t="inlineStr">
        <is>
          <t>A — Conformité</t>
        </is>
      </c>
      <c r="D3" s="11" t="inlineStr">
        <is>
          <t>A — Note (0-5)</t>
        </is>
      </c>
      <c r="E3" s="11" t="inlineStr">
        <is>
          <t>A — Commentaire</t>
        </is>
      </c>
      <c r="F3" s="11" t="inlineStr">
        <is>
          <t>B — Conformité</t>
        </is>
      </c>
      <c r="G3" s="11" t="inlineStr">
        <is>
          <t>B — Note (0-5)</t>
        </is>
      </c>
      <c r="H3" s="11" t="inlineStr">
        <is>
          <t>B — Commentaire</t>
        </is>
      </c>
      <c r="I3" s="11" t="inlineStr">
        <is>
          <t>C — Conformité</t>
        </is>
      </c>
      <c r="J3" s="11" t="inlineStr">
        <is>
          <t>C — Note (0-5)</t>
        </is>
      </c>
      <c r="K3" s="11" t="inlineStr">
        <is>
          <t>C — Commentaire</t>
        </is>
      </c>
      <c r="L3" s="11" t="inlineStr">
        <is>
          <t>Preuve / réf. offre</t>
        </is>
      </c>
    </row>
    <row r="4">
      <c r="A4" s="9" t="inlineStr">
        <is>
          <t>FONCTIONNALITÉS &amp; DÉTECTION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8" t="inlineStr">
        <is>
          <t>Collecte multi-sources (syslog, agents, API, cloud)</t>
        </is>
      </c>
      <c r="B5" s="19" t="inlineStr">
        <is>
          <t>Fonctionnalités &amp; détection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>
      <c r="A6" s="18" t="inlineStr">
        <is>
          <t>Corrélation temps réel / règles custom</t>
        </is>
      </c>
      <c r="B6" s="19" t="inlineStr">
        <is>
          <t>Fonctionnalités &amp; détection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18" t="inlineStr">
        <is>
          <t>UEBA / détection comportementale / ML</t>
        </is>
      </c>
      <c r="B7" s="19" t="inlineStr">
        <is>
          <t>Fonctionnalités &amp; détection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18" t="inlineStr">
        <is>
          <t>Threat intelligence intégrée (feeds)</t>
        </is>
      </c>
      <c r="B8" s="19" t="inlineStr">
        <is>
          <t>Fonctionnalités &amp; détection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8" t="inlineStr">
        <is>
          <t>SOAR / playbooks / automatisation</t>
        </is>
      </c>
      <c r="B9" s="19" t="inlineStr">
        <is>
          <t>Fonctionnalités &amp; détection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8" t="inlineStr">
        <is>
          <t>Cas d'usage métiers pré-packagés</t>
        </is>
      </c>
      <c r="B10" s="19" t="inlineStr">
        <is>
          <t>Fonctionnalités &amp; détection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8" t="inlineStr">
        <is>
          <t>Recherche forensics / hunting</t>
        </is>
      </c>
      <c r="B11" s="19" t="inlineStr">
        <is>
          <t>Fonctionnalités &amp; détection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18" t="inlineStr">
        <is>
          <t>Tableaux de bord &amp; reporting (KPI, conformité)</t>
        </is>
      </c>
      <c r="B12" s="19" t="inlineStr">
        <is>
          <t>Fonctionnalités &amp; détection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9" t="inlineStr">
        <is>
          <t>ARCHITECTURE &amp; PERFORMANCE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8" t="inlineStr">
        <is>
          <t>Scalabilité (EPS / volume)</t>
        </is>
      </c>
      <c r="B14" s="19" t="inlineStr">
        <is>
          <t>Architecture &amp; performance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18" t="inlineStr">
        <is>
          <t>Haute disponibilité / PRA-PCA</t>
        </is>
      </c>
      <c r="B15" s="19" t="inlineStr">
        <is>
          <t>Architecture &amp; performance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18" t="inlineStr">
        <is>
          <t>Rétention chaude / froide / archive</t>
        </is>
      </c>
      <c r="B16" s="19" t="inlineStr">
        <is>
          <t>Architecture &amp; performance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18" t="inlineStr">
        <is>
          <t>Latence d'ingestion &amp; alerting</t>
        </is>
      </c>
      <c r="B17" s="19" t="inlineStr">
        <is>
          <t>Architecture &amp; performance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18" t="inlineStr">
        <is>
          <t>Architecture On-prem / SaaS / hybride proposée</t>
        </is>
      </c>
      <c r="B18" s="19" t="inlineStr">
        <is>
          <t>Architecture &amp; performance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9" t="inlineStr">
        <is>
          <t>INTÉGRATIONS &amp; ÉCOSYSTÈME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8" t="inlineStr">
        <is>
          <t>Intégration AD / Entra ID / IAM</t>
        </is>
      </c>
      <c r="B20" s="19" t="inlineStr">
        <is>
          <t>Intégrations &amp; écosystème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8" t="inlineStr">
        <is>
          <t>Intégration EDR / XDR / antivirus</t>
        </is>
      </c>
      <c r="B21" s="19" t="inlineStr">
        <is>
          <t>Intégrations &amp; écosystème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8" t="inlineStr">
        <is>
          <t>Intégration firewall / proxy / mail gateway</t>
        </is>
      </c>
      <c r="B22" s="19" t="inlineStr">
        <is>
          <t>Intégrations &amp; écosystème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18" t="inlineStr">
        <is>
          <t>Intégration ticketing (ServiceNow, Jira…)</t>
        </is>
      </c>
      <c r="B23" s="19" t="inlineStr">
        <is>
          <t>Intégrations &amp; écosystème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18" t="inlineStr">
        <is>
          <t>Intégration avec le NAC (événements / politiques)</t>
        </is>
      </c>
      <c r="B24" s="19" t="inlineStr">
        <is>
          <t>Intégrations &amp; écosystème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18" t="inlineStr">
        <is>
          <t>Connecteurs cloud (M365, AWS, Azure, GCP)</t>
        </is>
      </c>
      <c r="B25" s="19" t="inlineStr">
        <is>
          <t>Intégrations &amp; écosystème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>
      <c r="A26" s="9" t="inlineStr">
        <is>
          <t>EXPLOITATION &amp; USABILITÉ SOC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8" t="inlineStr">
        <is>
          <t>Ergonomie console / courbe d'apprentissage</t>
        </is>
      </c>
      <c r="B27" s="19" t="inlineStr">
        <is>
          <t>Exploitation &amp; usabilité SOC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8" t="inlineStr">
        <is>
          <t>Gestion des faux positifs / tuning</t>
        </is>
      </c>
      <c r="B28" s="19" t="inlineStr">
        <is>
          <t>Exploitation &amp; usabilité SOC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18" t="inlineStr">
        <is>
          <t>RBAC / multi-tenancy / équipes</t>
        </is>
      </c>
      <c r="B29" s="19" t="inlineStr">
        <is>
          <t>Exploitation &amp; usabilité SOC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18" t="inlineStr">
        <is>
          <t>Charge d'administration estimée</t>
        </is>
      </c>
      <c r="B30" s="19" t="inlineStr">
        <is>
          <t>Exploitation &amp; usabilité SOC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18" t="inlineStr">
        <is>
          <t>Documentation &amp; contenu (règles, parsers)</t>
        </is>
      </c>
      <c r="B31" s="19" t="inlineStr">
        <is>
          <t>Exploitation &amp; usabilité SOC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>
      <c r="A32" s="9" t="inlineStr">
        <is>
          <t>SÉCURITÉ, CONFORMITÉ, GOUVERNANCE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8" t="inlineStr">
        <is>
          <t>Chiffrement données au repos / en transit</t>
        </is>
      </c>
      <c r="B33" s="19" t="inlineStr">
        <is>
          <t>Sécurité, conformité, gouvernance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18" t="inlineStr">
        <is>
          <t>Hébergement / souveraineté des données</t>
        </is>
      </c>
      <c r="B34" s="19" t="inlineStr">
        <is>
          <t>Sécurité, conformité, gouvernance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18" t="inlineStr">
        <is>
          <t>Traçabilité admin / audit trail</t>
        </is>
      </c>
      <c r="B35" s="19" t="inlineStr">
        <is>
          <t>Sécurité, conformité, gouvernance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>
      <c r="A36" s="18" t="inlineStr">
        <is>
          <t>Conformité (RGPD, ISO 27001, NIS2, secteur)</t>
        </is>
      </c>
      <c r="B36" s="19" t="inlineStr">
        <is>
          <t>Sécurité, conformité, gouvernance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9" t="inlineStr">
        <is>
          <t>SUPPORT, FORMATION, ROADMAP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8" t="inlineStr">
        <is>
          <t>SLA support (horaires, sévérités)</t>
        </is>
      </c>
      <c r="B38" s="19" t="inlineStr">
        <is>
          <t>Support, formation, roadmap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18" t="inlineStr">
        <is>
          <t>Formation incluse / transfert de compétences</t>
        </is>
      </c>
      <c r="B39" s="19" t="inlineStr">
        <is>
          <t>Support, formation, roadmap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18" t="inlineStr">
        <is>
          <t>Roadmap produit &amp; pérennité éditeur</t>
        </is>
      </c>
      <c r="B40" s="19" t="inlineStr">
        <is>
          <t>Support, formation, roadmap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18" t="inlineStr">
        <is>
          <t>Références clients sectorielles</t>
        </is>
      </c>
      <c r="B41" s="19" t="inlineStr">
        <is>
          <t>Support, formation, roadmap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>
      <c r="A42" s="9" t="inlineStr">
        <is>
          <t>TCO / RAPPORT QUALITÉ-PRIX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8" t="inlineStr">
        <is>
          <t>Clarté du modèle de licence</t>
        </is>
      </c>
      <c r="B43" s="19" t="inlineStr">
        <is>
          <t>TCO / rapport qualité-prix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>
      <c r="A44" s="18" t="inlineStr">
        <is>
          <t>Adéquation prix / périmètre</t>
        </is>
      </c>
      <c r="B44" s="19" t="inlineStr">
        <is>
          <t>TCO / rapport qualité-prix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18" t="inlineStr">
        <is>
          <t>Coûts cachés (stockage, connecteurs, EPS burst)</t>
        </is>
      </c>
      <c r="B45" s="19" t="inlineStr">
        <is>
          <t>TCO / rapport qualité-prix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>
      <c r="A46" s="2" t="inlineStr">
        <is>
          <t>MOYENNE SIMPLE DES NOTES (indicatif)</t>
        </is>
      </c>
      <c r="D46" s="16">
        <f>IFERROR(AVERAGE(D4:D45),"")</f>
        <v/>
      </c>
      <c r="G46" s="16">
        <f>IFERROR(AVERAGE(G4:G45),"")</f>
        <v/>
      </c>
      <c r="J46" s="16">
        <f>IFERROR(AVERAGE(J4:J45),"")</f>
        <v/>
      </c>
    </row>
  </sheetData>
  <autoFilter ref="A3:L3"/>
  <mergeCells count="9">
    <mergeCell ref="A26:L26"/>
    <mergeCell ref="A2:L2"/>
    <mergeCell ref="A42:L42"/>
    <mergeCell ref="A19:L19"/>
    <mergeCell ref="A1:L1"/>
    <mergeCell ref="A37:L37"/>
    <mergeCell ref="A32:L32"/>
    <mergeCell ref="A13:L13"/>
    <mergeCell ref="A4:L4"/>
  </mergeCells>
  <conditionalFormatting sqref="D4:D45">
    <cfRule type="colorScale" priority="1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G4:G45">
    <cfRule type="colorScale" priority="2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J4:J45">
    <cfRule type="colorScale" priority="3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dataValidations count="2">
    <dataValidation sqref="D4:D45 G4:G45 J4:J45" showDropDown="0" showInputMessage="0" showErrorMessage="1" allowBlank="1" errorTitle="Note invalide" error="Saisir une note de 0 à 5." type="list">
      <formula1>"0,1,2,3,4,5"</formula1>
    </dataValidation>
    <dataValidation sqref="C4:C45 F4:F45 I4:I45" showDropDown="0" showInputMessage="0" showErrorMessage="0" allowBlank="1" type="list">
      <formula1>"Oui,Partiel,Non,N/A"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12" customWidth="1" min="4" max="4"/>
    <col width="28" customWidth="1" min="5" max="5"/>
    <col width="14" customWidth="1" min="6" max="6"/>
    <col width="12" customWidth="1" min="7" max="7"/>
    <col width="28" customWidth="1" min="8" max="8"/>
    <col width="14" customWidth="1" min="9" max="9"/>
    <col width="12" customWidth="1" min="10" max="10"/>
    <col width="28" customWidth="1" min="11" max="11"/>
    <col width="22" customWidth="1" min="12" max="12"/>
  </cols>
  <sheetData>
    <row r="1" ht="28" customHeight="1">
      <c r="A1" s="8" t="inlineStr">
        <is>
          <t>GRILLE D'ÉVALUATION TECHNIQUE — NAC</t>
        </is>
      </c>
    </row>
    <row r="2">
      <c r="A2" s="17" t="inlineStr">
        <is>
          <t>Remplir les colonnes jaunes. Conformité = Oui / Partiel / Non / N/A. Note = 0 (absent) à 5 (excellent). Les totaux sont dans 06_Scores.</t>
        </is>
      </c>
    </row>
    <row r="3">
      <c r="A3" s="11" t="inlineStr">
        <is>
          <t>Critère</t>
        </is>
      </c>
      <c r="B3" s="11" t="inlineStr">
        <is>
          <t>Famille</t>
        </is>
      </c>
      <c r="C3" s="11" t="inlineStr">
        <is>
          <t>A — Conformité</t>
        </is>
      </c>
      <c r="D3" s="11" t="inlineStr">
        <is>
          <t>A — Note (0-5)</t>
        </is>
      </c>
      <c r="E3" s="11" t="inlineStr">
        <is>
          <t>A — Commentaire</t>
        </is>
      </c>
      <c r="F3" s="11" t="inlineStr">
        <is>
          <t>B — Conformité</t>
        </is>
      </c>
      <c r="G3" s="11" t="inlineStr">
        <is>
          <t>B — Note (0-5)</t>
        </is>
      </c>
      <c r="H3" s="11" t="inlineStr">
        <is>
          <t>B — Commentaire</t>
        </is>
      </c>
      <c r="I3" s="11" t="inlineStr">
        <is>
          <t>C — Conformité</t>
        </is>
      </c>
      <c r="J3" s="11" t="inlineStr">
        <is>
          <t>C — Note (0-5)</t>
        </is>
      </c>
      <c r="K3" s="11" t="inlineStr">
        <is>
          <t>C — Commentaire</t>
        </is>
      </c>
      <c r="L3" s="11" t="inlineStr">
        <is>
          <t>Preuve / réf. offre</t>
        </is>
      </c>
    </row>
    <row r="4">
      <c r="A4" s="9" t="inlineStr">
        <is>
          <t>CONTRÔLE D'ACCÈS &amp; POLITIQUES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8" t="inlineStr">
        <is>
          <t>802.1X filaire / Wi-Fi</t>
        </is>
      </c>
      <c r="B5" s="19" t="inlineStr">
        <is>
          <t>Contrôle d'accès &amp; politiques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>
      <c r="A6" s="18" t="inlineStr">
        <is>
          <t>MAB / MAC authentication bypass</t>
        </is>
      </c>
      <c r="B6" s="19" t="inlineStr">
        <is>
          <t>Contrôle d'accès &amp; politiques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18" t="inlineStr">
        <is>
          <t>Portail captive / accès invités</t>
        </is>
      </c>
      <c r="B7" s="19" t="inlineStr">
        <is>
          <t>Contrôle d'accès &amp; politiques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18" t="inlineStr">
        <is>
          <t>Politiques dynamiques (VLAN, ACL, Quarantine)</t>
        </is>
      </c>
      <c r="B8" s="19" t="inlineStr">
        <is>
          <t>Contrôle d'accès &amp; politiques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8" t="inlineStr">
        <is>
          <t>Posture assessment (antivirus, patch, disk encrypt)</t>
        </is>
      </c>
      <c r="B9" s="19" t="inlineStr">
        <is>
          <t>Contrôle d'accès &amp; politiques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8" t="inlineStr">
        <is>
          <t>Gestion BYOD / employés / partenaires</t>
        </is>
      </c>
      <c r="B10" s="19" t="inlineStr">
        <is>
          <t>Contrôle d'accès &amp; politiques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8" t="inlineStr">
        <is>
          <t>Gestion IoT / OT / équipements non managés</t>
        </is>
      </c>
      <c r="B11" s="19" t="inlineStr">
        <is>
          <t>Contrôle d'accès &amp; politiques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9" t="inlineStr">
        <is>
          <t>PROFILAGE &amp; VISIBILITÉ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8" t="inlineStr">
        <is>
          <t>Découverte &amp; inventaire des assets</t>
        </is>
      </c>
      <c r="B13" s="19" t="inlineStr">
        <is>
          <t>Profilage &amp; visibilité assets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18" t="inlineStr">
        <is>
          <t>Fingerprint / profiling passif &amp; actif</t>
        </is>
      </c>
      <c r="B14" s="19" t="inlineStr">
        <is>
          <t>Profilage &amp; visibilité assets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18" t="inlineStr">
        <is>
          <t>Classification automatique des devices</t>
        </is>
      </c>
      <c r="B15" s="19" t="inlineStr">
        <is>
          <t>Profilage &amp; visibilité assets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18" t="inlineStr">
        <is>
          <t>Visibilité temps réel (qui/quoi/où)</t>
        </is>
      </c>
      <c r="B16" s="19" t="inlineStr">
        <is>
          <t>Profilage &amp; visibilité assets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9" t="inlineStr">
        <is>
          <t>INTÉGRATIONS RÉSEAU / IAM / MDM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8" t="inlineStr">
        <is>
          <t>Compatibilité switches multi-vendeurs</t>
        </is>
      </c>
      <c r="B18" s="19" t="inlineStr">
        <is>
          <t>Intégrations réseau / IAM / MDM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18" t="inlineStr">
        <is>
          <t>Contrôleurs Wi-Fi / WLC</t>
        </is>
      </c>
      <c r="B19" s="19" t="inlineStr">
        <is>
          <t>Intégrations réseau / IAM / MDM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18" t="inlineStr">
        <is>
          <t>VPN / remote access</t>
        </is>
      </c>
      <c r="B20" s="19" t="inlineStr">
        <is>
          <t>Intégrations réseau / IAM / MDM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8" t="inlineStr">
        <is>
          <t>Intégration AD / Entra ID / RADIUS / PKI</t>
        </is>
      </c>
      <c r="B21" s="19" t="inlineStr">
        <is>
          <t>Intégrations réseau / IAM / MDM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8" t="inlineStr">
        <is>
          <t>Intégration MDM / EMM (Intune, etc.)</t>
        </is>
      </c>
      <c r="B22" s="19" t="inlineStr">
        <is>
          <t>Intégrations réseau / IAM / MDM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18" t="inlineStr">
        <is>
          <t>Intégration SIEM / firewall / SOAR</t>
        </is>
      </c>
      <c r="B23" s="19" t="inlineStr">
        <is>
          <t>Intégrations réseau / IAM / MDM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9" t="inlineStr">
        <is>
          <t>DÉPLOIEMENT &amp; MODES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8" t="inlineStr">
        <is>
          <t>Mode monitor / audit puis enforce</t>
        </is>
      </c>
      <c r="B25" s="19" t="inlineStr">
        <is>
          <t>Déploiement &amp; modes (monitor→enforce)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>
      <c r="A26" s="18" t="inlineStr">
        <is>
          <t>Complexité de déploiement (agents, appliances)</t>
        </is>
      </c>
      <c r="B26" s="19" t="inlineStr">
        <is>
          <t>Déploiement &amp; modes (monitor→enforce)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8" t="inlineStr">
        <is>
          <t>Haute disponibilité du policy server</t>
        </is>
      </c>
      <c r="B27" s="19" t="inlineStr">
        <is>
          <t>Déploiement &amp; modes (monitor→enforce)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8" t="inlineStr">
        <is>
          <t>Scalabilité multi-sites</t>
        </is>
      </c>
      <c r="B28" s="19" t="inlineStr">
        <is>
          <t>Déploiement &amp; modes (monitor→enforce)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9" t="inlineStr">
        <is>
          <t>SÉCURITÉ &amp; SEGMENTATION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8" t="inlineStr">
        <is>
          <t>Micro-segmentation / Zero Trust network access</t>
        </is>
      </c>
      <c r="B30" s="19" t="inlineStr">
        <is>
          <t>Sécurité, conformité, segmentation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18" t="inlineStr">
        <is>
          <t>Quarantine / remédiation automatisée</t>
        </is>
      </c>
      <c r="B31" s="19" t="inlineStr">
        <is>
          <t>Sécurité, conformité, segmentation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>
      <c r="A32" s="18" t="inlineStr">
        <is>
          <t>Traçabilité &amp; reporting conformité</t>
        </is>
      </c>
      <c r="B32" s="19" t="inlineStr">
        <is>
          <t>Sécurité, conformité, segmentation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9" t="inlineStr">
        <is>
          <t>SUPPORT, FORMATION, ROADMAP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8" t="inlineStr">
        <is>
          <t>SLA support</t>
        </is>
      </c>
      <c r="B34" s="19" t="inlineStr">
        <is>
          <t>Support, formation, roadmap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18" t="inlineStr">
        <is>
          <t>Formation &amp; documentation</t>
        </is>
      </c>
      <c r="B35" s="19" t="inlineStr">
        <is>
          <t>Support, formation, roadmap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>
      <c r="A36" s="18" t="inlineStr">
        <is>
          <t>Roadmap &amp; pérennité</t>
        </is>
      </c>
      <c r="B36" s="19" t="inlineStr">
        <is>
          <t>Support, formation, roadmap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18" t="inlineStr">
        <is>
          <t>Références clients</t>
        </is>
      </c>
      <c r="B37" s="19" t="inlineStr">
        <is>
          <t>Support, formation, roadmap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9" t="inlineStr">
        <is>
          <t>TCO / RAPPORT QUALITÉ-PRIX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8" t="inlineStr">
        <is>
          <t>Clarté du modèle de licence</t>
        </is>
      </c>
      <c r="B39" s="19" t="inlineStr">
        <is>
          <t>TCO / rapport qualité-prix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18" t="inlineStr">
        <is>
          <t>Adéquation prix / périmètre</t>
        </is>
      </c>
      <c r="B40" s="19" t="inlineStr">
        <is>
          <t>TCO / rapport qualité-prix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18" t="inlineStr">
        <is>
          <t>Coûts appliances / licences endpoints / renew</t>
        </is>
      </c>
      <c r="B41" s="19" t="inlineStr">
        <is>
          <t>TCO / rapport qualité-prix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>
      <c r="A42" s="2" t="inlineStr">
        <is>
          <t>MOYENNE SIMPLE DES NOTES (indicatif)</t>
        </is>
      </c>
      <c r="D42" s="16">
        <f>IFERROR(AVERAGE(D4:D41),"")</f>
        <v/>
      </c>
      <c r="G42" s="16">
        <f>IFERROR(AVERAGE(G4:G41),"")</f>
        <v/>
      </c>
      <c r="J42" s="16">
        <f>IFERROR(AVERAGE(J4:J41),"")</f>
        <v/>
      </c>
    </row>
  </sheetData>
  <autoFilter ref="A3:L3"/>
  <mergeCells count="9">
    <mergeCell ref="A24:L24"/>
    <mergeCell ref="A2:L2"/>
    <mergeCell ref="A38:L38"/>
    <mergeCell ref="A29:L29"/>
    <mergeCell ref="A33:L33"/>
    <mergeCell ref="A1:L1"/>
    <mergeCell ref="A17:L17"/>
    <mergeCell ref="A12:L12"/>
    <mergeCell ref="A4:L4"/>
  </mergeCells>
  <conditionalFormatting sqref="D4:D41">
    <cfRule type="colorScale" priority="1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G4:G41">
    <cfRule type="colorScale" priority="2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J4:J41">
    <cfRule type="colorScale" priority="3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dataValidations count="2">
    <dataValidation sqref="D4:D41 G4:G41 J4:J41" showDropDown="0" showInputMessage="0" showErrorMessage="1" allowBlank="1" errorTitle="Note invalide" error="Saisir une note de 0 à 5." type="list">
      <formula1>"0,1,2,3,4,5"</formula1>
    </dataValidation>
    <dataValidation sqref="C4:C41 F4:F41 I4:I41" showDropDown="0" showInputMessage="0" showErrorMessage="0" allowBlank="1" type="list">
      <formula1>"Oui,Partiel,Non,N/A"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28" customHeight="1">
      <c r="A1" s="8" t="inlineStr">
        <is>
          <t>COÛT TOTAL DE POSSESSION (TCO) — 3 ANS — € HT</t>
        </is>
      </c>
    </row>
    <row r="3">
      <c r="A3" s="11" t="inlineStr">
        <is>
          <t>Poste de coût</t>
        </is>
      </c>
      <c r="B3" s="11" t="inlineStr">
        <is>
          <t>Offre A</t>
        </is>
      </c>
      <c r="C3" s="11" t="inlineStr">
        <is>
          <t>Offre B</t>
        </is>
      </c>
      <c r="D3" s="11" t="inlineStr">
        <is>
          <t>Offre C</t>
        </is>
      </c>
      <c r="E3" s="11" t="inlineStr">
        <is>
          <t>Unité / base</t>
        </is>
      </c>
      <c r="F3" s="11" t="inlineStr">
        <is>
          <t>Commentaire / hypothèses</t>
        </is>
      </c>
    </row>
    <row r="4">
      <c r="A4" s="9" t="inlineStr">
        <is>
          <t>SIEM — LICENCES &amp; ABONNEMENTS</t>
        </is>
      </c>
      <c r="B4" s="10" t="n"/>
      <c r="C4" s="10" t="n"/>
      <c r="D4" s="10" t="n"/>
      <c r="E4" s="10" t="n"/>
      <c r="F4" s="10" t="n"/>
    </row>
    <row r="5">
      <c r="A5" s="15" t="inlineStr">
        <is>
          <t>Licence / abonnement SIEM année 1</t>
        </is>
      </c>
      <c r="B5" s="20" t="n">
        <v>0</v>
      </c>
      <c r="C5" s="20" t="n">
        <v>0</v>
      </c>
      <c r="D5" s="20" t="n">
        <v>0</v>
      </c>
      <c r="E5" s="13" t="n"/>
      <c r="F5" s="13" t="n"/>
    </row>
    <row r="6">
      <c r="A6" s="15" t="inlineStr">
        <is>
          <t>Licence / abonnement SIEM année 2</t>
        </is>
      </c>
      <c r="B6" s="20" t="n">
        <v>0</v>
      </c>
      <c r="C6" s="20" t="n">
        <v>0</v>
      </c>
      <c r="D6" s="20" t="n">
        <v>0</v>
      </c>
      <c r="E6" s="13" t="n"/>
      <c r="F6" s="13" t="n"/>
    </row>
    <row r="7">
      <c r="A7" s="15" t="inlineStr">
        <is>
          <t>Licence / abonnement SIEM année 3</t>
        </is>
      </c>
      <c r="B7" s="20" t="n">
        <v>0</v>
      </c>
      <c r="C7" s="20" t="n">
        <v>0</v>
      </c>
      <c r="D7" s="20" t="n">
        <v>0</v>
      </c>
      <c r="E7" s="13" t="n"/>
      <c r="F7" s="13" t="n"/>
    </row>
    <row r="8">
      <c r="A8" s="15" t="inlineStr">
        <is>
          <t>Modules optionnels (UEBA, SOAR, TI…)</t>
        </is>
      </c>
      <c r="B8" s="20" t="n">
        <v>0</v>
      </c>
      <c r="C8" s="20" t="n">
        <v>0</v>
      </c>
      <c r="D8" s="20" t="n">
        <v>0</v>
      </c>
      <c r="E8" s="13" t="n"/>
      <c r="F8" s="13" t="n"/>
    </row>
    <row r="9">
      <c r="A9" s="15" t="inlineStr">
        <is>
          <t>Stockage / rétention additionnelle</t>
        </is>
      </c>
      <c r="B9" s="20" t="n">
        <v>0</v>
      </c>
      <c r="C9" s="20" t="n">
        <v>0</v>
      </c>
      <c r="D9" s="20" t="n">
        <v>0</v>
      </c>
      <c r="E9" s="13" t="n"/>
      <c r="F9" s="13" t="n"/>
    </row>
    <row r="10">
      <c r="A10" s="15" t="inlineStr">
        <is>
          <t>Connecteurs / EPS burst / overage</t>
        </is>
      </c>
      <c r="B10" s="20" t="n">
        <v>0</v>
      </c>
      <c r="C10" s="20" t="n">
        <v>0</v>
      </c>
      <c r="D10" s="20" t="n">
        <v>0</v>
      </c>
      <c r="E10" s="13" t="n"/>
      <c r="F10" s="13" t="n"/>
    </row>
    <row r="11">
      <c r="A11" s="9" t="inlineStr">
        <is>
          <t>NAC — LICENCES &amp; ABONNEMENTS</t>
        </is>
      </c>
      <c r="B11" s="10" t="n"/>
      <c r="C11" s="10" t="n"/>
      <c r="D11" s="10" t="n"/>
      <c r="E11" s="10" t="n"/>
      <c r="F11" s="10" t="n"/>
    </row>
    <row r="12">
      <c r="A12" s="15" t="inlineStr">
        <is>
          <t>Licence / abonnement NAC année 1</t>
        </is>
      </c>
      <c r="B12" s="20" t="n">
        <v>0</v>
      </c>
      <c r="C12" s="20" t="n">
        <v>0</v>
      </c>
      <c r="D12" s="20" t="n">
        <v>0</v>
      </c>
      <c r="E12" s="13" t="n"/>
      <c r="F12" s="13" t="n"/>
    </row>
    <row r="13">
      <c r="A13" s="15" t="inlineStr">
        <is>
          <t>Licence / abonnement NAC année 2</t>
        </is>
      </c>
      <c r="B13" s="20" t="n">
        <v>0</v>
      </c>
      <c r="C13" s="20" t="n">
        <v>0</v>
      </c>
      <c r="D13" s="20" t="n">
        <v>0</v>
      </c>
      <c r="E13" s="13" t="n"/>
      <c r="F13" s="13" t="n"/>
    </row>
    <row r="14">
      <c r="A14" s="15" t="inlineStr">
        <is>
          <t>Licence / abonnement NAC année 3</t>
        </is>
      </c>
      <c r="B14" s="20" t="n">
        <v>0</v>
      </c>
      <c r="C14" s="20" t="n">
        <v>0</v>
      </c>
      <c r="D14" s="20" t="n">
        <v>0</v>
      </c>
      <c r="E14" s="13" t="n"/>
      <c r="F14" s="13" t="n"/>
    </row>
    <row r="15">
      <c r="A15" s="15" t="inlineStr">
        <is>
          <t>Licences endpoints / devices</t>
        </is>
      </c>
      <c r="B15" s="20" t="n">
        <v>0</v>
      </c>
      <c r="C15" s="20" t="n">
        <v>0</v>
      </c>
      <c r="D15" s="20" t="n">
        <v>0</v>
      </c>
      <c r="E15" s="13" t="n"/>
      <c r="F15" s="13" t="n"/>
    </row>
    <row r="16">
      <c r="A16" s="15" t="inlineStr">
        <is>
          <t>Appliances / VM / hardware</t>
        </is>
      </c>
      <c r="B16" s="20" t="n">
        <v>0</v>
      </c>
      <c r="C16" s="20" t="n">
        <v>0</v>
      </c>
      <c r="D16" s="20" t="n">
        <v>0</v>
      </c>
      <c r="E16" s="13" t="n"/>
      <c r="F16" s="13" t="n"/>
    </row>
    <row r="17">
      <c r="A17" s="15" t="inlineStr">
        <is>
          <t>Modules optionnels (guest, posture…)</t>
        </is>
      </c>
      <c r="B17" s="20" t="n">
        <v>0</v>
      </c>
      <c r="C17" s="20" t="n">
        <v>0</v>
      </c>
      <c r="D17" s="20" t="n">
        <v>0</v>
      </c>
      <c r="E17" s="13" t="n"/>
      <c r="F17" s="13" t="n"/>
    </row>
    <row r="18">
      <c r="A18" s="9" t="inlineStr">
        <is>
          <t>DÉPLOIEMENT &amp; INTÉGRATION</t>
        </is>
      </c>
      <c r="B18" s="10" t="n"/>
      <c r="C18" s="10" t="n"/>
      <c r="D18" s="10" t="n"/>
      <c r="E18" s="10" t="n"/>
      <c r="F18" s="10" t="n"/>
    </row>
    <row r="19">
      <c r="A19" s="15" t="inlineStr">
        <is>
          <t>Prestation d'intégration SIEM</t>
        </is>
      </c>
      <c r="B19" s="20" t="n">
        <v>0</v>
      </c>
      <c r="C19" s="20" t="n">
        <v>0</v>
      </c>
      <c r="D19" s="20" t="n">
        <v>0</v>
      </c>
      <c r="E19" s="13" t="n"/>
      <c r="F19" s="13" t="n"/>
    </row>
    <row r="20">
      <c r="A20" s="15" t="inlineStr">
        <is>
          <t>Prestation d'intégration NAC</t>
        </is>
      </c>
      <c r="B20" s="20" t="n">
        <v>0</v>
      </c>
      <c r="C20" s="20" t="n">
        <v>0</v>
      </c>
      <c r="D20" s="20" t="n">
        <v>0</v>
      </c>
      <c r="E20" s="13" t="n"/>
      <c r="F20" s="13" t="n"/>
    </row>
    <row r="21">
      <c r="A21" s="15" t="inlineStr">
        <is>
          <t>Développement règles / cas d'usage</t>
        </is>
      </c>
      <c r="B21" s="20" t="n">
        <v>0</v>
      </c>
      <c r="C21" s="20" t="n">
        <v>0</v>
      </c>
      <c r="D21" s="20" t="n">
        <v>0</v>
      </c>
      <c r="E21" s="13" t="n"/>
      <c r="F21" s="13" t="n"/>
    </row>
    <row r="22">
      <c r="A22" s="15" t="inlineStr">
        <is>
          <t>Migration / reprise de l'existant</t>
        </is>
      </c>
      <c r="B22" s="20" t="n">
        <v>0</v>
      </c>
      <c r="C22" s="20" t="n">
        <v>0</v>
      </c>
      <c r="D22" s="20" t="n">
        <v>0</v>
      </c>
      <c r="E22" s="13" t="n"/>
      <c r="F22" s="13" t="n"/>
    </row>
    <row r="23">
      <c r="A23" s="15" t="inlineStr">
        <is>
          <t>Frais de projet / PMO</t>
        </is>
      </c>
      <c r="B23" s="20" t="n">
        <v>0</v>
      </c>
      <c r="C23" s="20" t="n">
        <v>0</v>
      </c>
      <c r="D23" s="20" t="n">
        <v>0</v>
      </c>
      <c r="E23" s="13" t="n"/>
      <c r="F23" s="13" t="n"/>
    </row>
    <row r="24">
      <c r="A24" s="9" t="inlineStr">
        <is>
          <t>FORMATION &amp; ACCOMPAGNEMENT</t>
        </is>
      </c>
      <c r="B24" s="10" t="n"/>
      <c r="C24" s="10" t="n"/>
      <c r="D24" s="10" t="n"/>
      <c r="E24" s="10" t="n"/>
      <c r="F24" s="10" t="n"/>
    </row>
    <row r="25">
      <c r="A25" s="15" t="inlineStr">
        <is>
          <t>Formation administrateurs</t>
        </is>
      </c>
      <c r="B25" s="20" t="n">
        <v>0</v>
      </c>
      <c r="C25" s="20" t="n">
        <v>0</v>
      </c>
      <c r="D25" s="20" t="n">
        <v>0</v>
      </c>
      <c r="E25" s="13" t="n"/>
      <c r="F25" s="13" t="n"/>
    </row>
    <row r="26">
      <c r="A26" s="15" t="inlineStr">
        <is>
          <t>Formation analystes SOC</t>
        </is>
      </c>
      <c r="B26" s="20" t="n">
        <v>0</v>
      </c>
      <c r="C26" s="20" t="n">
        <v>0</v>
      </c>
      <c r="D26" s="20" t="n">
        <v>0</v>
      </c>
      <c r="E26" s="13" t="n"/>
      <c r="F26" s="13" t="n"/>
    </row>
    <row r="27">
      <c r="A27" s="15" t="inlineStr">
        <is>
          <t>Run / assistance au démarrage (jours)</t>
        </is>
      </c>
      <c r="B27" s="20" t="n">
        <v>0</v>
      </c>
      <c r="C27" s="20" t="n">
        <v>0</v>
      </c>
      <c r="D27" s="20" t="n">
        <v>0</v>
      </c>
      <c r="E27" s="13" t="n"/>
      <c r="F27" s="13" t="n"/>
    </row>
    <row r="28">
      <c r="A28" s="9" t="inlineStr">
        <is>
          <t>SUPPORT &amp; MAINTENANCE</t>
        </is>
      </c>
      <c r="B28" s="10" t="n"/>
      <c r="C28" s="10" t="n"/>
      <c r="D28" s="10" t="n"/>
      <c r="E28" s="10" t="n"/>
      <c r="F28" s="10" t="n"/>
    </row>
    <row r="29">
      <c r="A29" s="15" t="inlineStr">
        <is>
          <t>Support / maintenance année 1 (si séparé)</t>
        </is>
      </c>
      <c r="B29" s="20" t="n">
        <v>0</v>
      </c>
      <c r="C29" s="20" t="n">
        <v>0</v>
      </c>
      <c r="D29" s="20" t="n">
        <v>0</v>
      </c>
      <c r="E29" s="13" t="n"/>
      <c r="F29" s="13" t="n"/>
    </row>
    <row r="30">
      <c r="A30" s="15" t="inlineStr">
        <is>
          <t>Support / maintenance année 2</t>
        </is>
      </c>
      <c r="B30" s="20" t="n">
        <v>0</v>
      </c>
      <c r="C30" s="20" t="n">
        <v>0</v>
      </c>
      <c r="D30" s="20" t="n">
        <v>0</v>
      </c>
      <c r="E30" s="13" t="n"/>
      <c r="F30" s="13" t="n"/>
    </row>
    <row r="31">
      <c r="A31" s="15" t="inlineStr">
        <is>
          <t>Support / maintenance année 3</t>
        </is>
      </c>
      <c r="B31" s="20" t="n">
        <v>0</v>
      </c>
      <c r="C31" s="20" t="n">
        <v>0</v>
      </c>
      <c r="D31" s="20" t="n">
        <v>0</v>
      </c>
      <c r="E31" s="13" t="n"/>
      <c r="F31" s="13" t="n"/>
    </row>
    <row r="32">
      <c r="A32" s="15" t="inlineStr">
        <is>
          <t>MSSP / co-gestion SOC (option)</t>
        </is>
      </c>
      <c r="B32" s="20" t="n">
        <v>0</v>
      </c>
      <c r="C32" s="20" t="n">
        <v>0</v>
      </c>
      <c r="D32" s="20" t="n">
        <v>0</v>
      </c>
      <c r="E32" s="13" t="n"/>
      <c r="F32" s="13" t="n"/>
    </row>
    <row r="33">
      <c r="A33" s="9" t="inlineStr">
        <is>
          <t>AUTRES</t>
        </is>
      </c>
      <c r="B33" s="10" t="n"/>
      <c r="C33" s="10" t="n"/>
      <c r="D33" s="10" t="n"/>
      <c r="E33" s="10" t="n"/>
      <c r="F33" s="10" t="n"/>
    </row>
    <row r="34">
      <c r="A34" s="15" t="inlineStr">
        <is>
          <t>Infrastructure d'hébergement (si on-prem)</t>
        </is>
      </c>
      <c r="B34" s="20" t="n">
        <v>0</v>
      </c>
      <c r="C34" s="20" t="n">
        <v>0</v>
      </c>
      <c r="D34" s="20" t="n">
        <v>0</v>
      </c>
      <c r="E34" s="13" t="n"/>
      <c r="F34" s="13" t="n"/>
    </row>
    <row r="35">
      <c r="A35" s="15" t="inlineStr">
        <is>
          <t>Réseau / certificats / PKI</t>
        </is>
      </c>
      <c r="B35" s="20" t="n">
        <v>0</v>
      </c>
      <c r="C35" s="20" t="n">
        <v>0</v>
      </c>
      <c r="D35" s="20" t="n">
        <v>0</v>
      </c>
      <c r="E35" s="13" t="n"/>
      <c r="F35" s="13" t="n"/>
    </row>
    <row r="36">
      <c r="A36" s="15" t="inlineStr">
        <is>
          <t>Divers / imprévus (ex. 5–10 %)</t>
        </is>
      </c>
      <c r="B36" s="20" t="n">
        <v>0</v>
      </c>
      <c r="C36" s="20" t="n">
        <v>0</v>
      </c>
      <c r="D36" s="20" t="n">
        <v>0</v>
      </c>
      <c r="E36" s="13" t="n"/>
      <c r="F36" s="13" t="n"/>
    </row>
    <row r="37">
      <c r="A37" s="9" t="inlineStr">
        <is>
          <t>TOTAUX</t>
        </is>
      </c>
      <c r="B37" s="10" t="n"/>
      <c r="C37" s="10" t="n"/>
      <c r="D37" s="10" t="n"/>
      <c r="E37" s="10" t="n"/>
      <c r="F37" s="10" t="n"/>
    </row>
    <row r="38">
      <c r="A38" s="2" t="inlineStr">
        <is>
          <t>TCO 3 ANS TOTAL</t>
        </is>
      </c>
      <c r="B38" s="21">
        <f>SUM(B5:B36)</f>
        <v/>
      </c>
      <c r="C38" s="21">
        <f>SUM(C5:C36)</f>
        <v/>
      </c>
      <c r="D38" s="21">
        <f>SUM(D5:D36)</f>
        <v/>
      </c>
    </row>
    <row r="40">
      <c r="A40" s="2" t="inlineStr">
        <is>
          <t>TCO annuel moyen</t>
        </is>
      </c>
      <c r="B40" s="21">
        <f>B38/3</f>
        <v/>
      </c>
      <c r="C40" s="21">
        <f>C38/3</f>
        <v/>
      </c>
      <c r="D40" s="21">
        <f>D38/3</f>
        <v/>
      </c>
    </row>
    <row r="42">
      <c r="A42" s="2" t="inlineStr">
        <is>
          <t>Note TCO (0–5) — à reporter dans les grilles si besoin</t>
        </is>
      </c>
    </row>
    <row r="43">
      <c r="A43" s="17" t="inlineStr">
        <is>
          <t>Plus bas TCO = meilleure note (saisie manuelle ou auto ci-dessous)</t>
        </is>
      </c>
    </row>
    <row r="44">
      <c r="A44" s="2" t="inlineStr">
        <is>
          <t>Note auto TCO (5 = moins cher)</t>
        </is>
      </c>
      <c r="B44" s="16">
        <f>IF(B38=0,"",ROUND(5*MIN($B$38:$D$38)/B38,2))</f>
        <v/>
      </c>
      <c r="C44" s="16">
        <f>IF(C38=0,"",ROUND(5*MIN($B$38:$D$38)/C38,2))</f>
        <v/>
      </c>
      <c r="D44" s="16">
        <f>IF(D38=0,"",ROUND(5*MIN($B$38:$D$38)/D38,2))</f>
        <v/>
      </c>
    </row>
    <row r="46">
      <c r="A46" s="2" t="inlineStr">
        <is>
          <t>Hypothèses globales (inflation, taux de change, durée contrat…)</t>
        </is>
      </c>
    </row>
    <row r="47">
      <c r="A47" s="13" t="n"/>
      <c r="B47" s="13" t="n"/>
      <c r="C47" s="13" t="n"/>
      <c r="D47" s="13" t="n"/>
      <c r="E47" s="13" t="n"/>
      <c r="F47" s="13" t="n"/>
    </row>
    <row r="48">
      <c r="A48" s="13" t="n"/>
      <c r="B48" s="13" t="n"/>
      <c r="C48" s="13" t="n"/>
      <c r="D48" s="13" t="n"/>
      <c r="E48" s="13" t="n"/>
      <c r="F48" s="13" t="n"/>
    </row>
    <row r="49">
      <c r="A49" s="13" t="n"/>
      <c r="B49" s="13" t="n"/>
      <c r="C49" s="13" t="n"/>
      <c r="D49" s="13" t="n"/>
      <c r="E49" s="13" t="n"/>
      <c r="F49" s="13" t="n"/>
    </row>
  </sheetData>
  <mergeCells count="10">
    <mergeCell ref="A24:F24"/>
    <mergeCell ref="A33:F33"/>
    <mergeCell ref="A11:F11"/>
    <mergeCell ref="A47:F49"/>
    <mergeCell ref="A28:F28"/>
    <mergeCell ref="A1:F1"/>
    <mergeCell ref="A37:F37"/>
    <mergeCell ref="A18:F18"/>
    <mergeCell ref="A4:F4"/>
    <mergeCell ref="A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8" customHeight="1">
      <c r="A1" s="8" t="inlineStr">
        <is>
          <t>SCORES PONDÉRÉS — CALCUL AUTOMATIQUE</t>
        </is>
      </c>
    </row>
    <row r="2">
      <c r="A2" s="17" t="inlineStr">
        <is>
          <t>Les moyennes par famille sont calculées depuis 03_SIEM_Critères et 04_NAC_Critères. Les poids viennent de 02_Contexte. Ne modifiez que les poids / notes sources.</t>
        </is>
      </c>
    </row>
    <row r="4">
      <c r="A4" s="9" t="inlineStr">
        <is>
          <t>SIEM — SCORES PAR FAMILLE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1" t="inlineStr">
        <is>
          <t>Famille</t>
        </is>
      </c>
      <c r="B5" s="11" t="inlineStr">
        <is>
          <t>Poids %</t>
        </is>
      </c>
      <c r="C5" s="11" t="inlineStr">
        <is>
          <t>Moy. A</t>
        </is>
      </c>
      <c r="D5" s="11" t="inlineStr">
        <is>
          <t>Moy. B</t>
        </is>
      </c>
      <c r="E5" s="11" t="inlineStr">
        <is>
          <t>Moy. C</t>
        </is>
      </c>
      <c r="F5" s="11" t="inlineStr">
        <is>
          <t>Score pond. A</t>
        </is>
      </c>
      <c r="G5" s="11" t="inlineStr">
        <is>
          <t>Score pond. B</t>
        </is>
      </c>
      <c r="H5" s="11" t="inlineStr">
        <is>
          <t>Score pond. C</t>
        </is>
      </c>
    </row>
    <row r="6">
      <c r="A6" s="15" t="inlineStr">
        <is>
          <t>Fonctionnalités &amp; détection</t>
        </is>
      </c>
      <c r="B6" s="16">
        <f>'02_Contexte'!B34</f>
        <v/>
      </c>
      <c r="C6" s="16">
        <f>IFERROR(AVERAGEIF('03_SIEM_Critères'!$B:$B,A6,'03_SIEM_Critères'!D:D),"")</f>
        <v/>
      </c>
      <c r="D6" s="16">
        <f>IFERROR(AVERAGEIF('03_SIEM_Critères'!$B:$B,A6,'03_SIEM_Critères'!G:G),"")</f>
        <v/>
      </c>
      <c r="E6" s="16">
        <f>IFERROR(AVERAGEIF('03_SIEM_Critères'!$B:$B,A6,'03_SIEM_Critères'!J:J),"")</f>
        <v/>
      </c>
      <c r="F6" s="16">
        <f>IF(C6="","",C6*B6/100)</f>
        <v/>
      </c>
      <c r="G6" s="16">
        <f>IF(D6="","",D6*B6/100)</f>
        <v/>
      </c>
      <c r="H6" s="16">
        <f>IF(E6="","",E6*B6/100)</f>
        <v/>
      </c>
    </row>
    <row r="7">
      <c r="A7" s="15" t="inlineStr">
        <is>
          <t>Architecture &amp; performance</t>
        </is>
      </c>
      <c r="B7" s="16">
        <f>'02_Contexte'!B35</f>
        <v/>
      </c>
      <c r="C7" s="16">
        <f>IFERROR(AVERAGEIF('03_SIEM_Critères'!$B:$B,A7,'03_SIEM_Critères'!D:D),"")</f>
        <v/>
      </c>
      <c r="D7" s="16">
        <f>IFERROR(AVERAGEIF('03_SIEM_Critères'!$B:$B,A7,'03_SIEM_Critères'!G:G),"")</f>
        <v/>
      </c>
      <c r="E7" s="16">
        <f>IFERROR(AVERAGEIF('03_SIEM_Critères'!$B:$B,A7,'03_SIEM_Critères'!J:J),"")</f>
        <v/>
      </c>
      <c r="F7" s="16">
        <f>IF(C7="","",C7*B7/100)</f>
        <v/>
      </c>
      <c r="G7" s="16">
        <f>IF(D7="","",D7*B7/100)</f>
        <v/>
      </c>
      <c r="H7" s="16">
        <f>IF(E7="","",E7*B7/100)</f>
        <v/>
      </c>
    </row>
    <row r="8">
      <c r="A8" s="15" t="inlineStr">
        <is>
          <t>Intégrations &amp; écosystème</t>
        </is>
      </c>
      <c r="B8" s="16">
        <f>'02_Contexte'!B36</f>
        <v/>
      </c>
      <c r="C8" s="16">
        <f>IFERROR(AVERAGEIF('03_SIEM_Critères'!$B:$B,A8,'03_SIEM_Critères'!D:D),"")</f>
        <v/>
      </c>
      <c r="D8" s="16">
        <f>IFERROR(AVERAGEIF('03_SIEM_Critères'!$B:$B,A8,'03_SIEM_Critères'!G:G),"")</f>
        <v/>
      </c>
      <c r="E8" s="16">
        <f>IFERROR(AVERAGEIF('03_SIEM_Critères'!$B:$B,A8,'03_SIEM_Critères'!J:J),"")</f>
        <v/>
      </c>
      <c r="F8" s="16">
        <f>IF(C8="","",C8*B8/100)</f>
        <v/>
      </c>
      <c r="G8" s="16">
        <f>IF(D8="","",D8*B8/100)</f>
        <v/>
      </c>
      <c r="H8" s="16">
        <f>IF(E8="","",E8*B8/100)</f>
        <v/>
      </c>
    </row>
    <row r="9">
      <c r="A9" s="15" t="inlineStr">
        <is>
          <t>Exploitation &amp; usabilité SOC</t>
        </is>
      </c>
      <c r="B9" s="16">
        <f>'02_Contexte'!B37</f>
        <v/>
      </c>
      <c r="C9" s="16">
        <f>IFERROR(AVERAGEIF('03_SIEM_Critères'!$B:$B,A9,'03_SIEM_Critères'!D:D),"")</f>
        <v/>
      </c>
      <c r="D9" s="16">
        <f>IFERROR(AVERAGEIF('03_SIEM_Critères'!$B:$B,A9,'03_SIEM_Critères'!G:G),"")</f>
        <v/>
      </c>
      <c r="E9" s="16">
        <f>IFERROR(AVERAGEIF('03_SIEM_Critères'!$B:$B,A9,'03_SIEM_Critères'!J:J),"")</f>
        <v/>
      </c>
      <c r="F9" s="16">
        <f>IF(C9="","",C9*B9/100)</f>
        <v/>
      </c>
      <c r="G9" s="16">
        <f>IF(D9="","",D9*B9/100)</f>
        <v/>
      </c>
      <c r="H9" s="16">
        <f>IF(E9="","",E9*B9/100)</f>
        <v/>
      </c>
    </row>
    <row r="10">
      <c r="A10" s="15" t="inlineStr">
        <is>
          <t>Sécurité, conformité, gouvernance</t>
        </is>
      </c>
      <c r="B10" s="16">
        <f>'02_Contexte'!B38</f>
        <v/>
      </c>
      <c r="C10" s="16">
        <f>IFERROR(AVERAGEIF('03_SIEM_Critères'!$B:$B,A10,'03_SIEM_Critères'!D:D),"")</f>
        <v/>
      </c>
      <c r="D10" s="16">
        <f>IFERROR(AVERAGEIF('03_SIEM_Critères'!$B:$B,A10,'03_SIEM_Critères'!G:G),"")</f>
        <v/>
      </c>
      <c r="E10" s="16">
        <f>IFERROR(AVERAGEIF('03_SIEM_Critères'!$B:$B,A10,'03_SIEM_Critères'!J:J),"")</f>
        <v/>
      </c>
      <c r="F10" s="16">
        <f>IF(C10="","",C10*B10/100)</f>
        <v/>
      </c>
      <c r="G10" s="16">
        <f>IF(D10="","",D10*B10/100)</f>
        <v/>
      </c>
      <c r="H10" s="16">
        <f>IF(E10="","",E10*B10/100)</f>
        <v/>
      </c>
    </row>
    <row r="11">
      <c r="A11" s="15" t="inlineStr">
        <is>
          <t>Support, formation, roadmap</t>
        </is>
      </c>
      <c r="B11" s="16">
        <f>'02_Contexte'!B39</f>
        <v/>
      </c>
      <c r="C11" s="16">
        <f>IFERROR(AVERAGEIF('03_SIEM_Critères'!$B:$B,A11,'03_SIEM_Critères'!D:D),"")</f>
        <v/>
      </c>
      <c r="D11" s="16">
        <f>IFERROR(AVERAGEIF('03_SIEM_Critères'!$B:$B,A11,'03_SIEM_Critères'!G:G),"")</f>
        <v/>
      </c>
      <c r="E11" s="16">
        <f>IFERROR(AVERAGEIF('03_SIEM_Critères'!$B:$B,A11,'03_SIEM_Critères'!J:J),"")</f>
        <v/>
      </c>
      <c r="F11" s="16">
        <f>IF(C11="","",C11*B11/100)</f>
        <v/>
      </c>
      <c r="G11" s="16">
        <f>IF(D11="","",D11*B11/100)</f>
        <v/>
      </c>
      <c r="H11" s="16">
        <f>IF(E11="","",E11*B11/100)</f>
        <v/>
      </c>
    </row>
    <row r="12">
      <c r="A12" s="15" t="inlineStr">
        <is>
          <t>TCO / rapport qualité-prix</t>
        </is>
      </c>
      <c r="B12" s="16">
        <f>'02_Contexte'!B40</f>
        <v/>
      </c>
      <c r="C12" s="16">
        <f>IFERROR(AVERAGEIF('03_SIEM_Critères'!$B:$B,A12,'03_SIEM_Critères'!D:D),"")</f>
        <v/>
      </c>
      <c r="D12" s="16">
        <f>IFERROR(AVERAGEIF('03_SIEM_Critères'!$B:$B,A12,'03_SIEM_Critères'!G:G),"")</f>
        <v/>
      </c>
      <c r="E12" s="16">
        <f>IFERROR(AVERAGEIF('03_SIEM_Critères'!$B:$B,A12,'03_SIEM_Critères'!J:J),"")</f>
        <v/>
      </c>
      <c r="F12" s="16">
        <f>IF(C12="","",C12*B12/100)</f>
        <v/>
      </c>
      <c r="G12" s="16">
        <f>IF(D12="","",D12*B12/100)</f>
        <v/>
      </c>
      <c r="H12" s="16">
        <f>IF(E12="","",E12*B12/100)</f>
        <v/>
      </c>
    </row>
    <row r="13">
      <c r="A13" s="2" t="inlineStr">
        <is>
          <t>SCORE SIEM / 5</t>
        </is>
      </c>
      <c r="B13" s="16">
        <f>SUM(B6:B12)</f>
        <v/>
      </c>
      <c r="F13" s="16">
        <f>SUM(F6:F12)</f>
        <v/>
      </c>
      <c r="G13" s="16">
        <f>SUM(G6:G12)</f>
        <v/>
      </c>
      <c r="H13" s="16">
        <f>SUM(H6:H12)</f>
        <v/>
      </c>
    </row>
    <row r="15">
      <c r="A15" s="9" t="inlineStr">
        <is>
          <t>NAC — SCORES PAR FAMILLE</t>
        </is>
      </c>
      <c r="B15" s="10" t="n"/>
      <c r="C15" s="10" t="n"/>
      <c r="D15" s="10" t="n"/>
      <c r="E15" s="10" t="n"/>
      <c r="F15" s="10" t="n"/>
      <c r="G15" s="10" t="n"/>
      <c r="H15" s="10" t="n"/>
    </row>
    <row r="16">
      <c r="A16" s="11" t="inlineStr">
        <is>
          <t>Famille</t>
        </is>
      </c>
      <c r="B16" s="11" t="inlineStr">
        <is>
          <t>Poids %</t>
        </is>
      </c>
      <c r="C16" s="11" t="inlineStr">
        <is>
          <t>Moy. A</t>
        </is>
      </c>
      <c r="D16" s="11" t="inlineStr">
        <is>
          <t>Moy. B</t>
        </is>
      </c>
      <c r="E16" s="11" t="inlineStr">
        <is>
          <t>Moy. C</t>
        </is>
      </c>
      <c r="F16" s="11" t="inlineStr">
        <is>
          <t>Score pond. A</t>
        </is>
      </c>
      <c r="G16" s="11" t="inlineStr">
        <is>
          <t>Score pond. B</t>
        </is>
      </c>
      <c r="H16" s="11" t="inlineStr">
        <is>
          <t>Score pond. C</t>
        </is>
      </c>
    </row>
    <row r="17">
      <c r="A17" s="15" t="inlineStr">
        <is>
          <t>Contrôle d'accès &amp; politiques</t>
        </is>
      </c>
      <c r="B17" s="16">
        <f>'02_Contexte'!B46</f>
        <v/>
      </c>
      <c r="C17" s="16">
        <f>IFERROR(AVERAGEIF('04_NAC_Critères'!$B:$B,A17,'04_NAC_Critères'!D:D),"")</f>
        <v/>
      </c>
      <c r="D17" s="16">
        <f>IFERROR(AVERAGEIF('04_NAC_Critères'!$B:$B,A17,'04_NAC_Critères'!G:G),"")</f>
        <v/>
      </c>
      <c r="E17" s="16">
        <f>IFERROR(AVERAGEIF('04_NAC_Critères'!$B:$B,A17,'04_NAC_Critères'!J:J),"")</f>
        <v/>
      </c>
      <c r="F17" s="16">
        <f>IF(C17="","",C17*B17/100)</f>
        <v/>
      </c>
      <c r="G17" s="16">
        <f>IF(D17="","",D17*B17/100)</f>
        <v/>
      </c>
      <c r="H17" s="16">
        <f>IF(E17="","",E17*B17/100)</f>
        <v/>
      </c>
    </row>
    <row r="18">
      <c r="A18" s="15" t="inlineStr">
        <is>
          <t>Profilage &amp; visibilité assets</t>
        </is>
      </c>
      <c r="B18" s="16">
        <f>'02_Contexte'!B47</f>
        <v/>
      </c>
      <c r="C18" s="16">
        <f>IFERROR(AVERAGEIF('04_NAC_Critères'!$B:$B,A18,'04_NAC_Critères'!D:D),"")</f>
        <v/>
      </c>
      <c r="D18" s="16">
        <f>IFERROR(AVERAGEIF('04_NAC_Critères'!$B:$B,A18,'04_NAC_Critères'!G:G),"")</f>
        <v/>
      </c>
      <c r="E18" s="16">
        <f>IFERROR(AVERAGEIF('04_NAC_Critères'!$B:$B,A18,'04_NAC_Critères'!J:J),"")</f>
        <v/>
      </c>
      <c r="F18" s="16">
        <f>IF(C18="","",C18*B18/100)</f>
        <v/>
      </c>
      <c r="G18" s="16">
        <f>IF(D18="","",D18*B18/100)</f>
        <v/>
      </c>
      <c r="H18" s="16">
        <f>IF(E18="","",E18*B18/100)</f>
        <v/>
      </c>
    </row>
    <row r="19">
      <c r="A19" s="15" t="inlineStr">
        <is>
          <t>Intégrations réseau / IAM / MDM</t>
        </is>
      </c>
      <c r="B19" s="16">
        <f>'02_Contexte'!B48</f>
        <v/>
      </c>
      <c r="C19" s="16">
        <f>IFERROR(AVERAGEIF('04_NAC_Critères'!$B:$B,A19,'04_NAC_Critères'!D:D),"")</f>
        <v/>
      </c>
      <c r="D19" s="16">
        <f>IFERROR(AVERAGEIF('04_NAC_Critères'!$B:$B,A19,'04_NAC_Critères'!G:G),"")</f>
        <v/>
      </c>
      <c r="E19" s="16">
        <f>IFERROR(AVERAGEIF('04_NAC_Critères'!$B:$B,A19,'04_NAC_Critères'!J:J),"")</f>
        <v/>
      </c>
      <c r="F19" s="16">
        <f>IF(C19="","",C19*B19/100)</f>
        <v/>
      </c>
      <c r="G19" s="16">
        <f>IF(D19="","",D19*B19/100)</f>
        <v/>
      </c>
      <c r="H19" s="16">
        <f>IF(E19="","",E19*B19/100)</f>
        <v/>
      </c>
    </row>
    <row r="20">
      <c r="A20" s="15" t="inlineStr">
        <is>
          <t>Déploiement &amp; modes (monitor→enforce)</t>
        </is>
      </c>
      <c r="B20" s="16">
        <f>'02_Contexte'!B49</f>
        <v/>
      </c>
      <c r="C20" s="16">
        <f>IFERROR(AVERAGEIF('04_NAC_Critères'!$B:$B,A20,'04_NAC_Critères'!D:D),"")</f>
        <v/>
      </c>
      <c r="D20" s="16">
        <f>IFERROR(AVERAGEIF('04_NAC_Critères'!$B:$B,A20,'04_NAC_Critères'!G:G),"")</f>
        <v/>
      </c>
      <c r="E20" s="16">
        <f>IFERROR(AVERAGEIF('04_NAC_Critères'!$B:$B,A20,'04_NAC_Critères'!J:J),"")</f>
        <v/>
      </c>
      <c r="F20" s="16">
        <f>IF(C20="","",C20*B20/100)</f>
        <v/>
      </c>
      <c r="G20" s="16">
        <f>IF(D20="","",D20*B20/100)</f>
        <v/>
      </c>
      <c r="H20" s="16">
        <f>IF(E20="","",E20*B20/100)</f>
        <v/>
      </c>
    </row>
    <row r="21">
      <c r="A21" s="15" t="inlineStr">
        <is>
          <t>Sécurité, conformité, segmentation</t>
        </is>
      </c>
      <c r="B21" s="16">
        <f>'02_Contexte'!B50</f>
        <v/>
      </c>
      <c r="C21" s="16">
        <f>IFERROR(AVERAGEIF('04_NAC_Critères'!$B:$B,A21,'04_NAC_Critères'!D:D),"")</f>
        <v/>
      </c>
      <c r="D21" s="16">
        <f>IFERROR(AVERAGEIF('04_NAC_Critères'!$B:$B,A21,'04_NAC_Critères'!G:G),"")</f>
        <v/>
      </c>
      <c r="E21" s="16">
        <f>IFERROR(AVERAGEIF('04_NAC_Critères'!$B:$B,A21,'04_NAC_Critères'!J:J),"")</f>
        <v/>
      </c>
      <c r="F21" s="16">
        <f>IF(C21="","",C21*B21/100)</f>
        <v/>
      </c>
      <c r="G21" s="16">
        <f>IF(D21="","",D21*B21/100)</f>
        <v/>
      </c>
      <c r="H21" s="16">
        <f>IF(E21="","",E21*B21/100)</f>
        <v/>
      </c>
    </row>
    <row r="22">
      <c r="A22" s="15" t="inlineStr">
        <is>
          <t>Support, formation, roadmap</t>
        </is>
      </c>
      <c r="B22" s="16">
        <f>'02_Contexte'!B51</f>
        <v/>
      </c>
      <c r="C22" s="16">
        <f>IFERROR(AVERAGEIF('04_NAC_Critères'!$B:$B,A22,'04_NAC_Critères'!D:D),"")</f>
        <v/>
      </c>
      <c r="D22" s="16">
        <f>IFERROR(AVERAGEIF('04_NAC_Critères'!$B:$B,A22,'04_NAC_Critères'!G:G),"")</f>
        <v/>
      </c>
      <c r="E22" s="16">
        <f>IFERROR(AVERAGEIF('04_NAC_Critères'!$B:$B,A22,'04_NAC_Critères'!J:J),"")</f>
        <v/>
      </c>
      <c r="F22" s="16">
        <f>IF(C22="","",C22*B22/100)</f>
        <v/>
      </c>
      <c r="G22" s="16">
        <f>IF(D22="","",D22*B22/100)</f>
        <v/>
      </c>
      <c r="H22" s="16">
        <f>IF(E22="","",E22*B22/100)</f>
        <v/>
      </c>
    </row>
    <row r="23">
      <c r="A23" s="15" t="inlineStr">
        <is>
          <t>TCO / rapport qualité-prix</t>
        </is>
      </c>
      <c r="B23" s="16">
        <f>'02_Contexte'!B52</f>
        <v/>
      </c>
      <c r="C23" s="16">
        <f>IFERROR(AVERAGEIF('04_NAC_Critères'!$B:$B,A23,'04_NAC_Critères'!D:D),"")</f>
        <v/>
      </c>
      <c r="D23" s="16">
        <f>IFERROR(AVERAGEIF('04_NAC_Critères'!$B:$B,A23,'04_NAC_Critères'!G:G),"")</f>
        <v/>
      </c>
      <c r="E23" s="16">
        <f>IFERROR(AVERAGEIF('04_NAC_Critères'!$B:$B,A23,'04_NAC_Critères'!J:J),"")</f>
        <v/>
      </c>
      <c r="F23" s="16">
        <f>IF(C23="","",C23*B23/100)</f>
        <v/>
      </c>
      <c r="G23" s="16">
        <f>IF(D23="","",D23*B23/100)</f>
        <v/>
      </c>
      <c r="H23" s="16">
        <f>IF(E23="","",E23*B23/100)</f>
        <v/>
      </c>
    </row>
    <row r="24">
      <c r="A24" s="2" t="inlineStr">
        <is>
          <t>SCORE NAC / 5</t>
        </is>
      </c>
      <c r="B24" s="16">
        <f>SUM(B17:B23)</f>
        <v/>
      </c>
      <c r="F24" s="16">
        <f>SUM(F17:F23)</f>
        <v/>
      </c>
      <c r="G24" s="16">
        <f>SUM(G17:G23)</f>
        <v/>
      </c>
      <c r="H24" s="16">
        <f>SUM(H17:H23)</f>
        <v/>
      </c>
    </row>
    <row r="26">
      <c r="A26" s="9" t="inlineStr">
        <is>
          <t>SCORE GLOBAL PROJET (SIEM + NAC)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>
      <c r="A27" s="11" t="inlineStr">
        <is>
          <t>Composante</t>
        </is>
      </c>
      <c r="B27" s="11" t="inlineStr">
        <is>
          <t>Poids %</t>
        </is>
      </c>
      <c r="C27" s="11" t="inlineStr"/>
      <c r="D27" s="11" t="inlineStr"/>
      <c r="E27" s="11" t="inlineStr"/>
      <c r="F27" s="11" t="inlineStr">
        <is>
          <t>Offre A</t>
        </is>
      </c>
      <c r="G27" s="11" t="inlineStr">
        <is>
          <t>Offre B</t>
        </is>
      </c>
      <c r="H27" s="11" t="inlineStr">
        <is>
          <t>Offre C</t>
        </is>
      </c>
    </row>
    <row r="28">
      <c r="A28" t="inlineStr">
        <is>
          <t>SIEM</t>
        </is>
      </c>
      <c r="B28" s="16">
        <f>'02_Contexte'!B57</f>
        <v/>
      </c>
      <c r="F28" s="16">
        <f>F13</f>
        <v/>
      </c>
      <c r="G28" s="16">
        <f>G13</f>
        <v/>
      </c>
      <c r="H28" s="16">
        <f>H13</f>
        <v/>
      </c>
    </row>
    <row r="29">
      <c r="A29" t="inlineStr">
        <is>
          <t>NAC</t>
        </is>
      </c>
      <c r="B29" s="16">
        <f>'02_Contexte'!B58</f>
        <v/>
      </c>
      <c r="F29" s="16">
        <f>F24</f>
        <v/>
      </c>
      <c r="G29" s="16">
        <f>G24</f>
        <v/>
      </c>
      <c r="H29" s="16">
        <f>H24</f>
        <v/>
      </c>
    </row>
    <row r="30">
      <c r="A30" s="2" t="inlineStr">
        <is>
          <t>SCORE GLOBAL / 5</t>
        </is>
      </c>
      <c r="F30" s="16">
        <f>(F28*B28+F29*B29)/100</f>
        <v/>
      </c>
      <c r="G30" s="16">
        <f>(G28*B28+G29*B29)/100</f>
        <v/>
      </c>
      <c r="H30" s="16">
        <f>(H28*B28+H29*B29)/100</f>
        <v/>
      </c>
    </row>
    <row r="32">
      <c r="A32" s="2" t="inlineStr">
        <is>
          <t>Classement (1 = meilleur)</t>
        </is>
      </c>
      <c r="F32" s="22" t="inlineStr">
        <is>
          <t>Offre A</t>
        </is>
      </c>
      <c r="G32" s="22" t="inlineStr">
        <is>
          <t>Offre B</t>
        </is>
      </c>
      <c r="H32" s="22" t="inlineStr">
        <is>
          <t>Offre C</t>
        </is>
      </c>
    </row>
    <row r="33">
      <c r="A33" t="inlineStr">
        <is>
          <t>Rang</t>
        </is>
      </c>
      <c r="F33" s="16">
        <f>IF(F30="","",RANK(F30,$F$30:$H$30,0))</f>
        <v/>
      </c>
      <c r="G33" s="16">
        <f>IF(G30="","",RANK(G30,$F$30:$H$30,0))</f>
        <v/>
      </c>
      <c r="H33" s="16">
        <f>IF(H30="","",RANK(H30,$F$30:$H$30,0))</f>
        <v/>
      </c>
    </row>
  </sheetData>
  <mergeCells count="5">
    <mergeCell ref="A4:H4"/>
    <mergeCell ref="A26:H26"/>
    <mergeCell ref="A15:H15"/>
    <mergeCell ref="A2:H2"/>
    <mergeCell ref="A1:H1"/>
  </mergeCells>
  <conditionalFormatting sqref="F30:H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 ht="28" customHeight="1">
      <c r="A1" s="8" t="inlineStr">
        <is>
          <t>SYNTHÈSE DÉCISIONNELLE</t>
        </is>
      </c>
    </row>
    <row r="3">
      <c r="A3" s="9" t="inlineStr">
        <is>
          <t>TABLEAU DE BORD</t>
        </is>
      </c>
      <c r="B3" s="10" t="n"/>
      <c r="C3" s="10" t="n"/>
      <c r="D3" s="10" t="n"/>
      <c r="E3" s="10" t="n"/>
    </row>
    <row r="4">
      <c r="A4" s="11" t="inlineStr">
        <is>
          <t>Indicateur</t>
        </is>
      </c>
      <c r="B4" s="11" t="inlineStr">
        <is>
          <t>Offre A</t>
        </is>
      </c>
      <c r="C4" s="11" t="inlineStr">
        <is>
          <t>Offre B</t>
        </is>
      </c>
      <c r="D4" s="11" t="inlineStr">
        <is>
          <t>Offre C</t>
        </is>
      </c>
      <c r="E4" s="11" t="inlineStr">
        <is>
          <t>Commentaire</t>
        </is>
      </c>
    </row>
    <row r="5">
      <c r="A5" s="12" t="inlineStr">
        <is>
          <t>Éditeur / produit SIEM</t>
        </is>
      </c>
      <c r="B5" s="16">
        <f>'02_Contexte'!B5</f>
        <v/>
      </c>
      <c r="C5" s="16">
        <f>'02_Contexte'!C5</f>
        <v/>
      </c>
      <c r="D5" s="16">
        <f>'02_Contexte'!D5</f>
        <v/>
      </c>
      <c r="E5" s="13" t="n"/>
    </row>
    <row r="6">
      <c r="A6" s="12" t="inlineStr">
        <is>
          <t>Éditeur / produit NAC</t>
        </is>
      </c>
      <c r="B6" s="16">
        <f>'02_Contexte'!B6</f>
        <v/>
      </c>
      <c r="C6" s="16">
        <f>'02_Contexte'!C6</f>
        <v/>
      </c>
      <c r="D6" s="16">
        <f>'02_Contexte'!D6</f>
        <v/>
      </c>
      <c r="E6" s="13" t="n"/>
    </row>
    <row r="7">
      <c r="A7" s="12" t="inlineStr">
        <is>
          <t>Score SIEM / 5</t>
        </is>
      </c>
      <c r="B7" s="16">
        <f>'06_Scores'!F13</f>
        <v/>
      </c>
      <c r="C7" s="16">
        <f>'06_Scores'!G13</f>
        <v/>
      </c>
      <c r="D7" s="16">
        <f>'06_Scores'!H13</f>
        <v/>
      </c>
      <c r="E7" s="13" t="n"/>
    </row>
    <row r="8">
      <c r="A8" s="12" t="inlineStr">
        <is>
          <t>Score NAC / 5</t>
        </is>
      </c>
      <c r="B8" s="16">
        <f>'06_Scores'!F24</f>
        <v/>
      </c>
      <c r="C8" s="16">
        <f>'06_Scores'!G24</f>
        <v/>
      </c>
      <c r="D8" s="16">
        <f>'06_Scores'!H24</f>
        <v/>
      </c>
      <c r="E8" s="13" t="n"/>
    </row>
    <row r="9">
      <c r="A9" s="12" t="inlineStr">
        <is>
          <t>Score global / 5</t>
        </is>
      </c>
      <c r="B9" s="16">
        <f>'06_Scores'!F30</f>
        <v/>
      </c>
      <c r="C9" s="16">
        <f>'06_Scores'!G30</f>
        <v/>
      </c>
      <c r="D9" s="16">
        <f>'06_Scores'!H30</f>
        <v/>
      </c>
      <c r="E9" s="13" t="n"/>
    </row>
    <row r="10">
      <c r="A10" s="12" t="inlineStr">
        <is>
          <t>Classement</t>
        </is>
      </c>
      <c r="B10" s="16">
        <f>'06_Scores'!F33</f>
        <v/>
      </c>
      <c r="C10" s="16">
        <f>'06_Scores'!G33</f>
        <v/>
      </c>
      <c r="D10" s="16">
        <f>'06_Scores'!H33</f>
        <v/>
      </c>
      <c r="E10" s="13" t="n"/>
    </row>
    <row r="11">
      <c r="A11" s="12" t="inlineStr">
        <is>
          <t>TCO 3 ans (€ HT)</t>
        </is>
      </c>
      <c r="B11" s="21">
        <f>'05_TCO'!B38</f>
        <v/>
      </c>
      <c r="C11" s="21">
        <f>'05_TCO'!C38</f>
        <v/>
      </c>
      <c r="D11" s="21">
        <f>'05_TCO'!D38</f>
        <v/>
      </c>
      <c r="E11" s="13" t="n"/>
    </row>
    <row r="14">
      <c r="A14" s="9" t="inlineStr">
        <is>
          <t>ANALYSE QUALITATIVE (saisie libre)</t>
        </is>
      </c>
      <c r="B14" s="10" t="n"/>
      <c r="C14" s="10" t="n"/>
      <c r="D14" s="10" t="n"/>
      <c r="E14" s="10" t="n"/>
    </row>
    <row r="15">
      <c r="A15" s="11" t="inlineStr">
        <is>
          <t>Offre</t>
        </is>
      </c>
      <c r="B15" s="11" t="inlineStr">
        <is>
          <t>Points forts</t>
        </is>
      </c>
      <c r="C15" s="11" t="inlineStr">
        <is>
          <t>Points faibles / écarts</t>
        </is>
      </c>
      <c r="D15" s="11" t="inlineStr">
        <is>
          <t>Risques</t>
        </is>
      </c>
      <c r="E15" s="11" t="inlineStr">
        <is>
          <t>Conditions suspensives</t>
        </is>
      </c>
    </row>
    <row r="16" ht="60" customHeight="1">
      <c r="A16" s="12" t="inlineStr">
        <is>
          <t>Offre A</t>
        </is>
      </c>
      <c r="B16" s="23" t="n"/>
      <c r="C16" s="23" t="n"/>
      <c r="D16" s="23" t="n"/>
      <c r="E16" s="23" t="n"/>
    </row>
    <row r="17" ht="60" customHeight="1">
      <c r="A17" s="12" t="inlineStr">
        <is>
          <t>Offre B</t>
        </is>
      </c>
      <c r="B17" s="23" t="n"/>
      <c r="C17" s="23" t="n"/>
      <c r="D17" s="23" t="n"/>
      <c r="E17" s="23" t="n"/>
    </row>
    <row r="18" ht="60" customHeight="1">
      <c r="A18" s="12" t="inlineStr">
        <is>
          <t>Offre C</t>
        </is>
      </c>
      <c r="B18" s="23" t="n"/>
      <c r="C18" s="23" t="n"/>
      <c r="D18" s="23" t="n"/>
      <c r="E18" s="23" t="n"/>
    </row>
    <row r="20">
      <c r="A20" s="9" t="inlineStr">
        <is>
          <t>RECOMMANDATION</t>
        </is>
      </c>
      <c r="B20" s="10" t="n"/>
      <c r="C20" s="10" t="n"/>
      <c r="D20" s="10" t="n"/>
      <c r="E20" s="10" t="n"/>
    </row>
    <row r="21">
      <c r="A21" s="2" t="inlineStr">
        <is>
          <t>Offre recommandée</t>
        </is>
      </c>
      <c r="B21" s="13" t="n"/>
      <c r="C21" s="24" t="n"/>
    </row>
    <row r="22">
      <c r="A22" s="2" t="inlineStr">
        <is>
          <t>Justification (5–10 lignes)</t>
        </is>
      </c>
    </row>
    <row r="23">
      <c r="A23" s="25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8">
      <c r="A28" s="2" t="inlineStr">
        <is>
          <t>Scénario alternatif / plan B</t>
        </is>
      </c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2">
      <c r="A32" s="2" t="inlineStr">
        <is>
          <t>Prochaines étapes (PoC, audit licence, négociation, atelier technique…)</t>
        </is>
      </c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  <row r="35">
      <c r="A35" s="13" t="n"/>
      <c r="B35" s="13" t="n"/>
      <c r="C35" s="13" t="n"/>
      <c r="D35" s="13" t="n"/>
      <c r="E35" s="13" t="n"/>
    </row>
    <row r="37">
      <c r="A37" s="9" t="inlineStr">
        <is>
          <t>VALIDATION</t>
        </is>
      </c>
      <c r="B37" s="10" t="n"/>
      <c r="C37" s="10" t="n"/>
      <c r="D37" s="10" t="n"/>
      <c r="E37" s="10" t="n"/>
    </row>
    <row r="38">
      <c r="A38" s="11" t="inlineStr">
        <is>
          <t>Rôle</t>
        </is>
      </c>
      <c r="B38" s="11" t="inlineStr">
        <is>
          <t>Nom</t>
        </is>
      </c>
      <c r="C38" s="11" t="inlineStr">
        <is>
          <t>Date</t>
        </is>
      </c>
      <c r="D38" s="11" t="inlineStr">
        <is>
          <t>Visa / décision</t>
        </is>
      </c>
      <c r="E38" s="11" t="inlineStr">
        <is>
          <t>Commentaire</t>
        </is>
      </c>
    </row>
    <row r="39">
      <c r="A39" s="15" t="inlineStr">
        <is>
          <t>RSSI / Cyber</t>
        </is>
      </c>
      <c r="B39" s="13" t="n"/>
      <c r="C39" s="13" t="n"/>
      <c r="D39" s="13" t="n"/>
      <c r="E39" s="13" t="n"/>
    </row>
    <row r="40">
      <c r="A40" s="15" t="inlineStr">
        <is>
          <t>DSI / Infra</t>
        </is>
      </c>
      <c r="B40" s="13" t="n"/>
      <c r="C40" s="13" t="n"/>
      <c r="D40" s="13" t="n"/>
      <c r="E40" s="13" t="n"/>
    </row>
    <row r="41">
      <c r="A41" s="15" t="inlineStr">
        <is>
          <t>Achats</t>
        </is>
      </c>
      <c r="B41" s="13" t="n"/>
      <c r="C41" s="13" t="n"/>
      <c r="D41" s="13" t="n"/>
      <c r="E41" s="13" t="n"/>
    </row>
    <row r="42">
      <c r="A42" s="15" t="inlineStr">
        <is>
          <t>Direction</t>
        </is>
      </c>
      <c r="B42" s="13" t="n"/>
      <c r="C42" s="13" t="n"/>
      <c r="D42" s="13" t="n"/>
      <c r="E42" s="13" t="n"/>
    </row>
  </sheetData>
  <mergeCells count="9">
    <mergeCell ref="B21:C21"/>
    <mergeCell ref="A20:E20"/>
    <mergeCell ref="A29:E30"/>
    <mergeCell ref="A33:E35"/>
    <mergeCell ref="A1:E1"/>
    <mergeCell ref="A37:E37"/>
    <mergeCell ref="A14:E14"/>
    <mergeCell ref="A23:E2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8" t="inlineStr">
        <is>
          <t>CHECKLIST PoC / PILOTE (optionnel)</t>
        </is>
      </c>
    </row>
    <row r="3">
      <c r="A3" s="11" t="inlineStr">
        <is>
          <t>#</t>
        </is>
      </c>
      <c r="B3" s="11" t="inlineStr">
        <is>
          <t>Scénario de test</t>
        </is>
      </c>
      <c r="C3" s="11" t="inlineStr">
        <is>
          <t>Offre A</t>
        </is>
      </c>
      <c r="D3" s="11" t="inlineStr">
        <is>
          <t>Offre B</t>
        </is>
      </c>
      <c r="E3" s="11" t="inlineStr">
        <is>
          <t>Offre C</t>
        </is>
      </c>
      <c r="F3" s="11" t="inlineStr">
        <is>
          <t>Résultat / écart</t>
        </is>
      </c>
    </row>
    <row r="4">
      <c r="A4" s="26" t="n">
        <v>1</v>
      </c>
      <c r="B4" s="15" t="inlineStr">
        <is>
          <t>Ingestion des sources de logs prioritaires</t>
        </is>
      </c>
      <c r="C4" s="13" t="n"/>
      <c r="D4" s="13" t="n"/>
      <c r="E4" s="13" t="n"/>
      <c r="F4" s="13" t="n"/>
    </row>
    <row r="5">
      <c r="A5" s="26" t="n">
        <v>2</v>
      </c>
      <c r="B5" s="15" t="inlineStr">
        <is>
          <t>Création / tuning d'un cas d'usage de détection</t>
        </is>
      </c>
      <c r="C5" s="13" t="n"/>
      <c r="D5" s="13" t="n"/>
      <c r="E5" s="13" t="n"/>
      <c r="F5" s="13" t="n"/>
    </row>
    <row r="6">
      <c r="A6" s="26" t="n">
        <v>3</v>
      </c>
      <c r="B6" s="15" t="inlineStr">
        <is>
          <t>Temps de recherche forensics sur 7 jours</t>
        </is>
      </c>
      <c r="C6" s="13" t="n"/>
      <c r="D6" s="13" t="n"/>
      <c r="E6" s="13" t="n"/>
      <c r="F6" s="13" t="n"/>
    </row>
    <row r="7">
      <c r="A7" s="26" t="n">
        <v>4</v>
      </c>
      <c r="B7" s="15" t="inlineStr">
        <is>
          <t>Génération d'un rapport conformité</t>
        </is>
      </c>
      <c r="C7" s="13" t="n"/>
      <c r="D7" s="13" t="n"/>
      <c r="E7" s="13" t="n"/>
      <c r="F7" s="13" t="n"/>
    </row>
    <row r="8">
      <c r="A8" s="26" t="n">
        <v>5</v>
      </c>
      <c r="B8" s="15" t="inlineStr">
        <is>
          <t>Intégration EDR → alerte SIEM</t>
        </is>
      </c>
      <c r="C8" s="13" t="n"/>
      <c r="D8" s="13" t="n"/>
      <c r="E8" s="13" t="n"/>
      <c r="F8" s="13" t="n"/>
    </row>
    <row r="9">
      <c r="A9" s="26" t="n">
        <v>6</v>
      </c>
      <c r="B9" s="15" t="inlineStr">
        <is>
          <t>Authentification 802.1X sur switch test</t>
        </is>
      </c>
      <c r="C9" s="13" t="n"/>
      <c r="D9" s="13" t="n"/>
      <c r="E9" s="13" t="n"/>
      <c r="F9" s="13" t="n"/>
    </row>
    <row r="10">
      <c r="A10" s="26" t="n">
        <v>7</v>
      </c>
      <c r="B10" s="15" t="inlineStr">
        <is>
          <t>Profilage d'un device IoT inconnu</t>
        </is>
      </c>
      <c r="C10" s="13" t="n"/>
      <c r="D10" s="13" t="n"/>
      <c r="E10" s="13" t="n"/>
      <c r="F10" s="13" t="n"/>
    </row>
    <row r="11">
      <c r="A11" s="26" t="n">
        <v>8</v>
      </c>
      <c r="B11" s="15" t="inlineStr">
        <is>
          <t>Mise en quarantine automatisée</t>
        </is>
      </c>
      <c r="C11" s="13" t="n"/>
      <c r="D11" s="13" t="n"/>
      <c r="E11" s="13" t="n"/>
      <c r="F11" s="13" t="n"/>
    </row>
    <row r="12">
      <c r="A12" s="26" t="n">
        <v>9</v>
      </c>
      <c r="B12" s="15" t="inlineStr">
        <is>
          <t>Portail invité + sponsoring</t>
        </is>
      </c>
      <c r="C12" s="13" t="n"/>
      <c r="D12" s="13" t="n"/>
      <c r="E12" s="13" t="n"/>
      <c r="F12" s="13" t="n"/>
    </row>
    <row r="13">
      <c r="A13" s="26" t="n">
        <v>10</v>
      </c>
      <c r="B13" s="15" t="inlineStr">
        <is>
          <t>Intégration AD / certificats</t>
        </is>
      </c>
      <c r="C13" s="13" t="n"/>
      <c r="D13" s="13" t="n"/>
      <c r="E13" s="13" t="n"/>
      <c r="F13" s="13" t="n"/>
    </row>
    <row r="14">
      <c r="A14" s="26" t="n">
        <v>11</v>
      </c>
      <c r="B14" s="15" t="inlineStr">
        <is>
          <t>Corrélation événement NAC → SIEM</t>
        </is>
      </c>
      <c r="C14" s="13" t="n"/>
      <c r="D14" s="13" t="n"/>
      <c r="E14" s="13" t="n"/>
      <c r="F14" s="13" t="n"/>
    </row>
    <row r="15">
      <c r="A15" s="26" t="n">
        <v>12</v>
      </c>
      <c r="B15" s="15" t="inlineStr">
        <is>
          <t>Basculer monitor → enforce sans coupure</t>
        </is>
      </c>
      <c r="C15" s="13" t="n"/>
      <c r="D15" s="13" t="n"/>
      <c r="E15" s="13" t="n"/>
      <c r="F15" s="13" t="n"/>
    </row>
    <row r="16">
      <c r="A16" s="26" t="n">
        <v>13</v>
      </c>
      <c r="B16" s="15" t="inlineStr">
        <is>
          <t>Failover HA (si exigé)</t>
        </is>
      </c>
      <c r="C16" s="13" t="n"/>
      <c r="D16" s="13" t="n"/>
      <c r="E16" s="13" t="n"/>
      <c r="F16" s="13" t="n"/>
    </row>
    <row r="17">
      <c r="A17" s="26" t="n">
        <v>14</v>
      </c>
      <c r="B17" s="15" t="inlineStr">
        <is>
          <t>Export / API / ticketing</t>
        </is>
      </c>
      <c r="C17" s="13" t="n"/>
      <c r="D17" s="13" t="n"/>
      <c r="E17" s="13" t="n"/>
      <c r="F17" s="13" t="n"/>
    </row>
    <row r="18">
      <c r="A18" s="26" t="n">
        <v>15</v>
      </c>
      <c r="B18" s="15" t="inlineStr">
        <is>
          <t>Charge / performance sous volume cible</t>
        </is>
      </c>
      <c r="C18" s="13" t="n"/>
      <c r="D18" s="13" t="n"/>
      <c r="E18" s="13" t="n"/>
      <c r="F18" s="13" t="n"/>
    </row>
  </sheetData>
  <mergeCells count="1">
    <mergeCell ref="A1:F1"/>
  </mergeCells>
  <dataValidations count="1">
    <dataValidation sqref="C4:E18" showDropDown="0" showInputMessage="0" showErrorMessage="0" allowBlank="1" type="list">
      <formula1>"Oui,Partiel,Non,N/A"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2026-08-05T19:28:39Z</dcterms:created>
  <dcterms:modified xsi:type="dcterms:W3CDTF">2026-08-05T19:28:39Z</dcterms:modified>
</cp:coreProperties>
</file>