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f des 3 Off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"/>
    <numFmt numFmtId="165" formatCode="+0.0%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9.5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9"/>
      </top>
      <bottom style="double">
        <color rgb="001F4E7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5" fillId="3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22" customWidth="1" min="4" max="4"/>
    <col width="22" customWidth="1" min="5" max="5"/>
    <col width="22" customWidth="1" min="6" max="6"/>
    <col width="18" customWidth="1" min="7" max="7"/>
  </cols>
  <sheetData>
    <row r="1" ht="30" customHeight="1">
      <c r="A1" s="1" t="inlineStr">
        <is>
          <t>TABLEAU COMPARATIF D'ANALYSE DES OFFRES FINANCIÈRES — FOURNITURE ÉTIQUETTES &amp; SCELLÉS ANMC</t>
        </is>
      </c>
    </row>
    <row r="2">
      <c r="A2" s="2" t="inlineStr">
        <is>
          <t>Dossier de consultation / Procédure de mise en concurrence à 3 devis contradictoires (Réf. Client : NIF 82397/P)</t>
        </is>
      </c>
    </row>
    <row r="4" ht="34" customHeight="1">
      <c r="A4" s="3" t="inlineStr">
        <is>
          <t>N°</t>
        </is>
      </c>
      <c r="B4" s="3" t="inlineStr">
        <is>
          <t>Désignation des Fournitures</t>
        </is>
      </c>
      <c r="C4" s="3" t="inlineStr">
        <is>
          <t>Quantité</t>
        </is>
      </c>
      <c r="D4" s="3" t="inlineStr">
        <is>
          <t>Offre 1 : Niger CERTIFY
(Moins-disant / Retenu)</t>
        </is>
      </c>
      <c r="E4" s="3" t="inlineStr">
        <is>
          <t>Offre 2 : Imprimerie IMS SARL
(Facture A : +30%)</t>
        </is>
      </c>
      <c r="F4" s="3" t="inlineStr">
        <is>
          <t>Offre 3 : SGSI SA
(Facture B : +35%)</t>
        </is>
      </c>
      <c r="G4" s="3" t="inlineStr">
        <is>
          <t>Écart Financier
(Offre 1 vs Offre 3)</t>
        </is>
      </c>
    </row>
    <row r="5" ht="20" customHeight="1">
      <c r="A5" s="4" t="n">
        <v>1</v>
      </c>
      <c r="B5" s="5" t="inlineStr">
        <is>
          <t>Étiquette verte 9cm X 9cm (2027, n°6001 à 11000)</t>
        </is>
      </c>
      <c r="C5" s="6" t="n">
        <v>5000</v>
      </c>
      <c r="D5" s="7" t="n">
        <v>750000</v>
      </c>
      <c r="E5" s="6" t="n">
        <v>975000</v>
      </c>
      <c r="F5" s="6" t="n">
        <v>1000000</v>
      </c>
      <c r="G5" s="8">
        <f>F5-D5</f>
        <v/>
      </c>
    </row>
    <row r="6" ht="20" customHeight="1">
      <c r="A6" s="4" t="n">
        <v>2</v>
      </c>
      <c r="B6" s="5" t="inlineStr">
        <is>
          <t>Étiquette verte 9cm X 9cm (2028, n°0001 à 8000)</t>
        </is>
      </c>
      <c r="C6" s="6" t="n">
        <v>8000</v>
      </c>
      <c r="D6" s="7" t="n">
        <v>1200000</v>
      </c>
      <c r="E6" s="6" t="n">
        <v>1560000</v>
      </c>
      <c r="F6" s="6" t="n">
        <v>1600000</v>
      </c>
      <c r="G6" s="8">
        <f>F6-D6</f>
        <v/>
      </c>
    </row>
    <row r="7" ht="20" customHeight="1">
      <c r="A7" s="4" t="n">
        <v>3</v>
      </c>
      <c r="B7" s="5" t="inlineStr">
        <is>
          <t>Étiquette orange 9cm X 9cm (n°2001 à 4000)</t>
        </is>
      </c>
      <c r="C7" s="6" t="n">
        <v>1000</v>
      </c>
      <c r="D7" s="7" t="n">
        <v>150000</v>
      </c>
      <c r="E7" s="6" t="n">
        <v>195000</v>
      </c>
      <c r="F7" s="6" t="n">
        <v>200000</v>
      </c>
      <c r="G7" s="8">
        <f>F7-D7</f>
        <v/>
      </c>
    </row>
    <row r="8" ht="20" customHeight="1">
      <c r="A8" s="4" t="n">
        <v>4</v>
      </c>
      <c r="B8" s="5" t="inlineStr">
        <is>
          <t>Étiquette rouge 9cm X 9cm (n°3001 à 4000)</t>
        </is>
      </c>
      <c r="C8" s="6" t="n">
        <v>1000</v>
      </c>
      <c r="D8" s="7" t="n">
        <v>150000</v>
      </c>
      <c r="E8" s="6" t="n">
        <v>195000</v>
      </c>
      <c r="F8" s="6" t="n">
        <v>200000</v>
      </c>
      <c r="G8" s="8">
        <f>F8-D8</f>
        <v/>
      </c>
    </row>
    <row r="9" ht="20" customHeight="1">
      <c r="A9" s="4" t="n">
        <v>5</v>
      </c>
      <c r="B9" s="5" t="inlineStr">
        <is>
          <t>Étiquette verte 5,5cm X 5,5cm (2027, n°2501 à 3000)</t>
        </is>
      </c>
      <c r="C9" s="6" t="n">
        <v>500</v>
      </c>
      <c r="D9" s="7" t="n">
        <v>50000</v>
      </c>
      <c r="E9" s="6" t="n">
        <v>65000</v>
      </c>
      <c r="F9" s="6" t="n">
        <v>70000</v>
      </c>
      <c r="G9" s="8">
        <f>F9-D9</f>
        <v/>
      </c>
    </row>
    <row r="10" ht="20" customHeight="1">
      <c r="A10" s="4" t="n">
        <v>6</v>
      </c>
      <c r="B10" s="5" t="inlineStr">
        <is>
          <t>Étiquette verte 5,5cm X 5,5cm (2028, n°0001 à 1000)</t>
        </is>
      </c>
      <c r="C10" s="6" t="n">
        <v>1000</v>
      </c>
      <c r="D10" s="7" t="n">
        <v>100000</v>
      </c>
      <c r="E10" s="6" t="n">
        <v>130000</v>
      </c>
      <c r="F10" s="6" t="n">
        <v>140000</v>
      </c>
      <c r="G10" s="8">
        <f>F10-D10</f>
        <v/>
      </c>
    </row>
    <row r="11" ht="20" customHeight="1">
      <c r="A11" s="4" t="n">
        <v>7</v>
      </c>
      <c r="B11" s="5" t="inlineStr">
        <is>
          <t>Étiquette orange 5,5cm X 5,5cm (n°2001 à 3000)</t>
        </is>
      </c>
      <c r="C11" s="6" t="n">
        <v>1000</v>
      </c>
      <c r="D11" s="7" t="n">
        <v>100000</v>
      </c>
      <c r="E11" s="6" t="n">
        <v>130000</v>
      </c>
      <c r="F11" s="6" t="n">
        <v>140000</v>
      </c>
      <c r="G11" s="8">
        <f>F11-D11</f>
        <v/>
      </c>
    </row>
    <row r="12" ht="20" customHeight="1">
      <c r="A12" s="4" t="n">
        <v>8</v>
      </c>
      <c r="B12" s="5" t="inlineStr">
        <is>
          <t>Étiquette rouge 5,5cm X 5,5cm (n°2001 à 3000)</t>
        </is>
      </c>
      <c r="C12" s="6" t="n">
        <v>1000</v>
      </c>
      <c r="D12" s="7" t="n">
        <v>100000</v>
      </c>
      <c r="E12" s="6" t="n">
        <v>130000</v>
      </c>
      <c r="F12" s="6" t="n">
        <v>140000</v>
      </c>
      <c r="G12" s="8">
        <f>F12-D12</f>
        <v/>
      </c>
    </row>
    <row r="13" ht="20" customHeight="1">
      <c r="A13" s="4" t="n">
        <v>9</v>
      </c>
      <c r="B13" s="5" t="inlineStr">
        <is>
          <t>Étiquette verte 5cm X 2cm (2027, n°401 à 650)</t>
        </is>
      </c>
      <c r="C13" s="6" t="n">
        <v>250</v>
      </c>
      <c r="D13" s="7" t="n">
        <v>22500</v>
      </c>
      <c r="E13" s="6" t="n">
        <v>29250</v>
      </c>
      <c r="F13" s="6" t="n">
        <v>30000</v>
      </c>
      <c r="G13" s="8">
        <f>F13-D13</f>
        <v/>
      </c>
    </row>
    <row r="14" ht="20" customHeight="1">
      <c r="A14" s="4" t="n">
        <v>10</v>
      </c>
      <c r="B14" s="5" t="inlineStr">
        <is>
          <t>Étiquette verte 5cm X 2cm (2028, n°1 à 250)</t>
        </is>
      </c>
      <c r="C14" s="6" t="n">
        <v>250</v>
      </c>
      <c r="D14" s="7" t="n">
        <v>22500</v>
      </c>
      <c r="E14" s="6" t="n">
        <v>29250</v>
      </c>
      <c r="F14" s="6" t="n">
        <v>30000</v>
      </c>
      <c r="G14" s="8">
        <f>F14-D14</f>
        <v/>
      </c>
    </row>
    <row r="15" ht="20" customHeight="1">
      <c r="A15" s="4" t="n">
        <v>11</v>
      </c>
      <c r="B15" s="5" t="inlineStr">
        <is>
          <t>Scellé de sécurité personnalisés (x1 000)</t>
        </is>
      </c>
      <c r="C15" s="6" t="n">
        <v>1000</v>
      </c>
      <c r="D15" s="7" t="n">
        <v>1000000</v>
      </c>
      <c r="E15" s="6" t="n">
        <v>1300000</v>
      </c>
      <c r="F15" s="6" t="n">
        <v>1370000</v>
      </c>
      <c r="G15" s="8">
        <f>F15-D15</f>
        <v/>
      </c>
    </row>
    <row r="16" ht="24" customHeight="1">
      <c r="A16" s="9" t="inlineStr">
        <is>
          <t>TOTAL MONTANT HORS TAXES (HT)</t>
        </is>
      </c>
      <c r="B16" s="10" t="n"/>
      <c r="C16" s="10" t="n"/>
      <c r="D16" s="11">
        <f>SUM(D5:D15)</f>
        <v/>
      </c>
      <c r="E16" s="12">
        <f>SUM(E5:E15)</f>
        <v/>
      </c>
      <c r="F16" s="12">
        <f>SUM(F5:F15)</f>
        <v/>
      </c>
      <c r="G16" s="13">
        <f>F16-D16</f>
        <v/>
      </c>
    </row>
    <row r="17">
      <c r="A17" s="14" t="inlineStr">
        <is>
          <t>Écart en % vs Offre Moins-Disante</t>
        </is>
      </c>
      <c r="D17" s="15" t="inlineStr">
        <is>
          <t>RÉFÉRENCE (0%)</t>
        </is>
      </c>
      <c r="E17" s="16">
        <f>(E16-D16)/D16</f>
        <v/>
      </c>
      <c r="F17" s="16">
        <f>(F16-D16)/D16</f>
        <v/>
      </c>
      <c r="G17" s="17" t="inlineStr">
        <is>
          <t>Économie ANMC</t>
        </is>
      </c>
    </row>
    <row r="19">
      <c r="A19" s="18" t="inlineStr">
        <is>
          <t>CONCLUSION DE L'ÉVALUATION FINANCIÈRE :</t>
        </is>
      </c>
    </row>
    <row r="20">
      <c r="A20" s="19" t="inlineStr">
        <is>
          <t>L'offre soumise par Niger CERTIFY d'un montant de 3 645 000 FCFA HT est l'offre la moins-disante et la plus avantageuse pour l'ANMC.
Elle présente une économie de 1 093 500 FCFA (-23,1%) par rapport à l'Offre A (IMS SARL) et de 1 275 000 FCFA (-25,9%) par rapport à l'Offre B (SGSI SA).
Recommandation : Attribution définitive du marché de confection des étiquettes et scellés à Niger CERTIFY.</t>
        </is>
      </c>
    </row>
    <row r="21"/>
    <row r="22"/>
  </sheetData>
  <mergeCells count="6">
    <mergeCell ref="A1:G1"/>
    <mergeCell ref="A17:C17"/>
    <mergeCell ref="A2:G2"/>
    <mergeCell ref="A20:G22"/>
    <mergeCell ref="A19:G19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2026-09-18T09:02:39Z</dcterms:created>
  <dcterms:modified xsi:type="dcterms:W3CDTF">2026-09-18T09:02:39Z</dcterms:modified>
</cp:coreProperties>
</file>