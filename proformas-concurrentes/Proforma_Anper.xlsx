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 Proforma A" sheetId="1" state="visible" r:id="rId1"/>
  </sheets>
  <definedNames>
    <definedName name="_xlnm.Print_Area" localSheetId="0">'Facture Proforma A'!$A$1:$E$31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9"/>
      <sz val="12"/>
    </font>
    <font>
      <name val="Calibri"/>
      <i val="1"/>
      <color rgb="00505050"/>
      <sz val="8.5"/>
    </font>
    <font>
      <name val="Calibri"/>
      <color rgb="00505050"/>
      <sz val="7.8"/>
    </font>
    <font>
      <name val="Calibri"/>
      <b val="1"/>
      <color rgb="001F4E79"/>
      <sz val="14"/>
    </font>
    <font>
      <name val="Calibri"/>
      <b val="1"/>
      <color rgb="00000000"/>
      <sz val="9"/>
    </font>
    <font>
      <name val="Calibri"/>
      <color rgb="00000000"/>
      <sz val="8.5"/>
    </font>
    <font>
      <name val="Calibri"/>
      <b val="1"/>
      <color rgb="00FFFFFF"/>
      <sz val="8.5"/>
    </font>
    <font>
      <name val="Calibri"/>
      <b val="1"/>
      <color rgb="001F4E79"/>
      <sz val="10"/>
    </font>
    <font>
      <name val="Calibri"/>
      <i val="1"/>
      <color rgb="00FFFFFF"/>
      <sz val="7.5"/>
    </font>
  </fonts>
  <fills count="6">
    <fill>
      <patternFill/>
    </fill>
    <fill>
      <patternFill patternType="gray125"/>
    </fill>
    <fill>
      <patternFill patternType="solid">
        <fgColor rgb="00F5F8FB"/>
        <bgColor rgb="00F5F8FB"/>
      </patternFill>
    </fill>
    <fill>
      <patternFill patternType="solid">
        <fgColor rgb="001F4E79"/>
        <bgColor rgb="001F4E79"/>
      </patternFill>
    </fill>
    <fill>
      <patternFill patternType="solid">
        <fgColor rgb="00F2F5F9"/>
        <bgColor rgb="00F2F5F9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  <border>
      <left style="thin">
        <color rgb="00B0C4DE"/>
      </left>
      <right style="thin">
        <color rgb="00B0C4DE"/>
      </right>
      <top style="medium">
        <color rgb="001F4E79"/>
      </top>
      <bottom style="double">
        <color rgb="001F4E7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0" borderId="0" pivotButton="0" quotePrefix="0" xfId="0"/>
    <xf numFmtId="0" fontId="6" fillId="0" borderId="0" applyAlignment="1" pivotButton="0" quotePrefix="0" xfId="0">
      <alignment vertical="center"/>
    </xf>
    <xf numFmtId="0" fontId="7" fillId="3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0" borderId="2" pivotButton="0" quotePrefix="0" xfId="0"/>
    <xf numFmtId="3" fontId="8" fillId="5" borderId="2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0" customWidth="1" min="3" max="3"/>
    <col width="15" customWidth="1" min="4" max="4"/>
    <col width="15" customWidth="1" min="5" max="5"/>
  </cols>
  <sheetData>
    <row r="1" ht="18" customHeight="1">
      <c r="A1" s="1" t="inlineStr">
        <is>
          <t>IMPRIMERIE &amp; MULTISERVICES DU SAHEL (IMS SARL)</t>
        </is>
      </c>
      <c r="D1" s="2" t="inlineStr">
        <is>
          <t>FACTURE PROFORMA A</t>
        </is>
      </c>
    </row>
    <row r="2" ht="14" customHeight="1">
      <c r="A2" s="3" t="inlineStr">
        <is>
          <t>Imprimerie Offset, Sérigraphie Industrielle &amp; Fournitures Générales</t>
        </is>
      </c>
      <c r="D2" s="4" t="inlineStr">
        <is>
          <t>N° Proforma :</t>
        </is>
      </c>
      <c r="E2" s="4" t="inlineStr">
        <is>
          <t>FP-2026/09-084</t>
        </is>
      </c>
    </row>
    <row r="3" ht="13" customHeight="1">
      <c r="A3" s="5" t="inlineStr">
        <is>
          <t>Quartier Nouveau Marché, BP 11 204 Niamey (Niger) | Tél: (+227) 20 73 45 12 / 96 45 10 20</t>
        </is>
      </c>
      <c r="D3" s="6" t="inlineStr">
        <is>
          <t>Date :</t>
        </is>
      </c>
      <c r="E3" s="6" t="inlineStr">
        <is>
          <t>15/09/2026</t>
        </is>
      </c>
    </row>
    <row r="4" ht="13" customHeight="1">
      <c r="A4" s="5" t="inlineStr">
        <is>
          <t>NIF: 45128/R | RCCM: NI-NIA-2021-B-1420 | Régime fiscal: Réel Simplifié</t>
        </is>
      </c>
      <c r="D4" s="6" t="inlineStr">
        <is>
          <t>Validité de l'offre :</t>
        </is>
      </c>
      <c r="E4" s="6" t="inlineStr">
        <is>
          <t>60 jours</t>
        </is>
      </c>
    </row>
    <row r="5" ht="6" customHeight="1"/>
    <row r="6" ht="18" customHeight="1">
      <c r="A6" s="7" t="inlineStr">
        <is>
          <t>CLIENT : AGENCE NATIONALE DE LA MÉTROLOGIE ET DE LA CONFORMITÉ (ANMC)</t>
        </is>
      </c>
    </row>
    <row r="7" ht="14" customHeight="1">
      <c r="A7" s="8" t="inlineStr">
        <is>
          <t>Direction Générale — BP 10 700 Niamey (République du Niger)</t>
        </is>
      </c>
      <c r="D7" s="4" t="inlineStr">
        <is>
          <t>NIF Client : 82397/P</t>
        </is>
      </c>
    </row>
    <row r="8" ht="15" customHeight="1">
      <c r="A8" s="9" t="inlineStr">
        <is>
          <t>Objet : Fourniture d'étiquettes de métrologie et scellés de sécurité (Exercices 2027 &amp; 2028)</t>
        </is>
      </c>
    </row>
    <row r="9" ht="6" customHeight="1"/>
    <row r="10" ht="22" customHeight="1">
      <c r="A10" s="10" t="inlineStr">
        <is>
          <t>N°</t>
        </is>
      </c>
      <c r="B10" s="10" t="inlineStr">
        <is>
          <t>Désignation / Nature de la commande</t>
        </is>
      </c>
      <c r="C10" s="10" t="inlineStr">
        <is>
          <t>Quantité</t>
        </is>
      </c>
      <c r="D10" s="10" t="inlineStr">
        <is>
          <t>P.U. HT (FCFA)</t>
        </is>
      </c>
      <c r="E10" s="10" t="inlineStr">
        <is>
          <t>Total HT (FCFA)</t>
        </is>
      </c>
    </row>
    <row r="11" ht="17" customHeight="1">
      <c r="A11" s="11" t="n">
        <v>1</v>
      </c>
      <c r="B11" s="12" t="inlineStr">
        <is>
          <t>Conception/Impression étiquette verte 9cm X 9cm (année 2027, n°6001 à 11000)</t>
        </is>
      </c>
      <c r="C11" s="13" t="n">
        <v>5000</v>
      </c>
      <c r="D11" s="13" t="n">
        <v>195</v>
      </c>
      <c r="E11" s="13">
        <f>C11*D11</f>
        <v/>
      </c>
    </row>
    <row r="12" ht="17" customHeight="1">
      <c r="A12" s="14" t="n">
        <v>2</v>
      </c>
      <c r="B12" s="15" t="inlineStr">
        <is>
          <t>Conception/Impression étiquette verte 9cm X 9cm (année 2028, n°0001 à 8000)</t>
        </is>
      </c>
      <c r="C12" s="16" t="n">
        <v>8000</v>
      </c>
      <c r="D12" s="16" t="n">
        <v>195</v>
      </c>
      <c r="E12" s="16">
        <f>C12*D12</f>
        <v/>
      </c>
    </row>
    <row r="13" ht="17" customHeight="1">
      <c r="A13" s="11" t="n">
        <v>3</v>
      </c>
      <c r="B13" s="12" t="inlineStr">
        <is>
          <t>Conception/Impression étiquette orange 9cm X 9cm (n°2001 à 4000)</t>
        </is>
      </c>
      <c r="C13" s="13" t="n">
        <v>1000</v>
      </c>
      <c r="D13" s="13" t="n">
        <v>195</v>
      </c>
      <c r="E13" s="13">
        <f>C13*D13</f>
        <v/>
      </c>
    </row>
    <row r="14" ht="17" customHeight="1">
      <c r="A14" s="14" t="n">
        <v>4</v>
      </c>
      <c r="B14" s="15" t="inlineStr">
        <is>
          <t>Conception/Impression étiquette rouge 9cm X 9cm (n°3001 à 4000)</t>
        </is>
      </c>
      <c r="C14" s="16" t="n">
        <v>1000</v>
      </c>
      <c r="D14" s="16" t="n">
        <v>195</v>
      </c>
      <c r="E14" s="16">
        <f>C14*D14</f>
        <v/>
      </c>
    </row>
    <row r="15" ht="17" customHeight="1">
      <c r="A15" s="11" t="n">
        <v>5</v>
      </c>
      <c r="B15" s="12" t="inlineStr">
        <is>
          <t>Conception/Impression étiquette verte 5,5cm X 5,5cm (année 2027, n°2501 à 3000)</t>
        </is>
      </c>
      <c r="C15" s="13" t="n">
        <v>500</v>
      </c>
      <c r="D15" s="13" t="n">
        <v>130</v>
      </c>
      <c r="E15" s="13">
        <f>C15*D15</f>
        <v/>
      </c>
    </row>
    <row r="16" ht="17" customHeight="1">
      <c r="A16" s="14" t="n">
        <v>6</v>
      </c>
      <c r="B16" s="15" t="inlineStr">
        <is>
          <t>Conception/Impression étiquette verte 5,5cm X 5,5cm (année 2028, n°0001 à 1000)</t>
        </is>
      </c>
      <c r="C16" s="16" t="n">
        <v>1000</v>
      </c>
      <c r="D16" s="16" t="n">
        <v>130</v>
      </c>
      <c r="E16" s="16">
        <f>C16*D16</f>
        <v/>
      </c>
    </row>
    <row r="17" ht="17" customHeight="1">
      <c r="A17" s="11" t="n">
        <v>7</v>
      </c>
      <c r="B17" s="12" t="inlineStr">
        <is>
          <t>Conception/Impression étiquette orange 5,5cm X 5,5cm (n°2001 à 3000)</t>
        </is>
      </c>
      <c r="C17" s="13" t="n">
        <v>1000</v>
      </c>
      <c r="D17" s="13" t="n">
        <v>130</v>
      </c>
      <c r="E17" s="13">
        <f>C17*D17</f>
        <v/>
      </c>
    </row>
    <row r="18" ht="17" customHeight="1">
      <c r="A18" s="14" t="n">
        <v>8</v>
      </c>
      <c r="B18" s="15" t="inlineStr">
        <is>
          <t>Conception/Impression étiquette rouge 5,5cm X 5,5cm (n°2001 à 3000)</t>
        </is>
      </c>
      <c r="C18" s="16" t="n">
        <v>1000</v>
      </c>
      <c r="D18" s="16" t="n">
        <v>130</v>
      </c>
      <c r="E18" s="16">
        <f>C18*D18</f>
        <v/>
      </c>
    </row>
    <row r="19" ht="17" customHeight="1">
      <c r="A19" s="11" t="n">
        <v>9</v>
      </c>
      <c r="B19" s="12" t="inlineStr">
        <is>
          <t>Conception/Impression étiquette verte 5cm X 2cm (année 2027, n°401 à 650)</t>
        </is>
      </c>
      <c r="C19" s="13" t="n">
        <v>250</v>
      </c>
      <c r="D19" s="13" t="n">
        <v>117</v>
      </c>
      <c r="E19" s="13">
        <f>C19*D19</f>
        <v/>
      </c>
    </row>
    <row r="20" ht="17" customHeight="1">
      <c r="A20" s="14" t="n">
        <v>10</v>
      </c>
      <c r="B20" s="15" t="inlineStr">
        <is>
          <t>Conception/Impression étiquette verte 5cm X 2cm (année 2028, n°1 à 250)</t>
        </is>
      </c>
      <c r="C20" s="16" t="n">
        <v>250</v>
      </c>
      <c r="D20" s="16" t="n">
        <v>117</v>
      </c>
      <c r="E20" s="16">
        <f>C20*D20</f>
        <v/>
      </c>
    </row>
    <row r="21" ht="17" customHeight="1">
      <c r="A21" s="11" t="n">
        <v>11</v>
      </c>
      <c r="B21" s="12" t="inlineStr">
        <is>
          <t>Scellé de sécurité personnalisés (gravure laser / numérotés)</t>
        </is>
      </c>
      <c r="C21" s="13" t="n">
        <v>1000</v>
      </c>
      <c r="D21" s="13" t="n">
        <v>1300</v>
      </c>
      <c r="E21" s="13">
        <f>C21*D21</f>
        <v/>
      </c>
    </row>
    <row r="22" ht="20" customHeight="1">
      <c r="A22" s="17" t="inlineStr">
        <is>
          <t>TOTAL MONTANT HORS TAXES (HT) FCFA</t>
        </is>
      </c>
      <c r="B22" s="18" t="n"/>
      <c r="C22" s="18" t="n"/>
      <c r="D22" s="18" t="n"/>
      <c r="E22" s="19">
        <f>SUM(E11:E21)</f>
        <v/>
      </c>
    </row>
    <row r="23" ht="6" customHeight="1"/>
    <row r="24" ht="17" customHeight="1">
      <c r="A24" s="20" t="inlineStr">
        <is>
          <t>Arrêtée la présente facture proforma à la somme de : QUATRE MILLIONS SEPT CENT TRENTE-HUIT MILLE CINQ CENTS (4 738 500) FCFA HT.</t>
        </is>
      </c>
    </row>
    <row r="25" ht="6" customHeight="1"/>
    <row r="26" ht="15" customHeight="1">
      <c r="A26" s="21" t="inlineStr">
        <is>
          <t>CONDITIONS COMMERCIALES &amp; BANCAIRES :</t>
        </is>
      </c>
      <c r="D26" s="22" t="inlineStr">
        <is>
          <t>Pour l'Imprimerie IMS SARL</t>
        </is>
      </c>
    </row>
    <row r="27" ht="13" customHeight="1">
      <c r="A27" s="5" t="inlineStr">
        <is>
          <t>• Délai d'exécution : 30 à 45 jours ouvrables après réception du bon de commande et validation du BAT.</t>
        </is>
      </c>
      <c r="D27" s="23" t="inlineStr">
        <is>
          <t>La Direction Commerciale</t>
        </is>
      </c>
    </row>
    <row r="28" ht="13" customHeight="1">
      <c r="A28" s="5" t="inlineStr">
        <is>
          <t>• Modalités de règlement : 40% à la commande, solde de 60% par virement bancaire à la livraison.</t>
        </is>
      </c>
      <c r="D28" s="24" t="inlineStr">
        <is>
          <t>[Cachet &amp; Signature]</t>
        </is>
      </c>
    </row>
    <row r="29" ht="13" customHeight="1">
      <c r="A29" s="5" t="inlineStr">
        <is>
          <t>• Matière : Vinyle adhésif haute résistance, encres anti-UV indélébiles pour métrologie légale.</t>
        </is>
      </c>
    </row>
    <row r="30" ht="13" customHeight="1">
      <c r="A30" s="5" t="inlineStr">
        <is>
          <t>• Compte bancaire : BIA-NIGER Niamey | Code Banque: NE034 | Guichet: 01001 | Compte: 02511488901 | Clé: 42</t>
        </is>
      </c>
    </row>
    <row r="31" ht="16" customHeight="1">
      <c r="A31" s="25" t="inlineStr">
        <is>
          <t>« Offre soumise aux conditions générales de vente — Imprimerie &amp; Multiservices du Sahel SARL — Niamey »</t>
        </is>
      </c>
    </row>
  </sheetData>
  <mergeCells count="20">
    <mergeCell ref="A24:E24"/>
    <mergeCell ref="A22:D22"/>
    <mergeCell ref="D1:E1"/>
    <mergeCell ref="A27:C27"/>
    <mergeCell ref="A3:C3"/>
    <mergeCell ref="A6:E6"/>
    <mergeCell ref="A26:C26"/>
    <mergeCell ref="A2:C2"/>
    <mergeCell ref="D27:E27"/>
    <mergeCell ref="A29:C29"/>
    <mergeCell ref="A4:C4"/>
    <mergeCell ref="A28:C28"/>
    <mergeCell ref="D7:E7"/>
    <mergeCell ref="A30:C30"/>
    <mergeCell ref="D28:E30"/>
    <mergeCell ref="A8:E8"/>
    <mergeCell ref="A1:C1"/>
    <mergeCell ref="A31:E31"/>
    <mergeCell ref="A7:C7"/>
    <mergeCell ref="D26:E26"/>
  </mergeCells>
  <printOptions horizontalCentered="1" verticalCentered="0" gridLines="0"/>
  <pageMargins left="0.35" right="0.35" top="0.35" bottom="0.3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2026-09-18T09:23:44Z</dcterms:created>
  <dcterms:modified xsi:type="dcterms:W3CDTF">2026-09-18T09:23:44Z</dcterms:modified>
</cp:coreProperties>
</file>